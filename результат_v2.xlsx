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ая смета" sheetId="1" state="visible" r:id="rId1"/>
    <sheet xmlns:r="http://schemas.openxmlformats.org/officeDocument/2006/relationships" name="DevOps" sheetId="2" state="visible" r:id="rId2"/>
    <sheet xmlns:r="http://schemas.openxmlformats.org/officeDocument/2006/relationships" name="Смарт контракты" sheetId="3" state="visible" r:id="rId3"/>
    <sheet xmlns:r="http://schemas.openxmlformats.org/officeDocument/2006/relationships" name="Бэкенд" sheetId="4" state="visible" r:id="rId4"/>
    <sheet xmlns:r="http://schemas.openxmlformats.org/officeDocument/2006/relationships" name="Фронтенд" sheetId="5" state="visible" r:id="rId5"/>
    <sheet xmlns:r="http://schemas.openxmlformats.org/officeDocument/2006/relationships" name="QA" sheetId="6" state="visible" r:id="rId6"/>
    <sheet xmlns:r="http://schemas.openxmlformats.org/officeDocument/2006/relationships" name="Аналитик" sheetId="7" state="visible" r:id="rId7"/>
    <sheet xmlns:r="http://schemas.openxmlformats.org/officeDocument/2006/relationships" name="Менеджмен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ontserrat"/>
      <b val="1"/>
      <color rgb="FFFFFFFF"/>
      <sz val="14"/>
    </font>
    <font>
      <name val="Montserrat"/>
      <b val="1"/>
      <sz val="8"/>
    </font>
    <font>
      <name val="Montserrat"/>
      <b val="1"/>
      <sz val="6"/>
    </font>
    <font>
      <name val="Montserrat"/>
      <b val="1"/>
      <sz val="10"/>
    </font>
    <font>
      <name val="Montserrat"/>
      <b val="1"/>
      <sz val="9"/>
    </font>
    <font>
      <name val="Montserrat"/>
      <sz val="8"/>
    </font>
    <font>
      <name val="Montserrat"/>
      <sz val="7"/>
    </font>
    <font>
      <name val="Montserrat"/>
      <b val="1"/>
      <color rgb="FF286F74"/>
      <sz val="10"/>
      <u val="single"/>
    </font>
    <font>
      <name val="Montserrat"/>
      <b val="1"/>
      <color rgb="FF46BDC6"/>
      <sz val="10"/>
    </font>
    <font>
      <name val="Montserrat"/>
      <b val="1"/>
      <color rgb="FFFFFFFF"/>
      <sz val="10"/>
    </font>
    <font>
      <name val="Montserrat"/>
      <color rgb="FFFFFFFF"/>
      <sz val="8"/>
    </font>
    <font>
      <name val="Montserrat"/>
      <b val="1"/>
      <color rgb="FFFFFFFF"/>
      <sz val="8"/>
    </font>
  </fonts>
  <fills count="9">
    <fill>
      <patternFill/>
    </fill>
    <fill>
      <patternFill patternType="gray125"/>
    </fill>
    <fill>
      <patternFill patternType="solid">
        <fgColor rgb="FF212735"/>
      </patternFill>
    </fill>
    <fill>
      <patternFill patternType="solid">
        <fgColor rgb="FFD9D9D9"/>
      </patternFill>
    </fill>
    <fill>
      <patternFill patternType="solid">
        <fgColor rgb="FFFFE599"/>
      </patternFill>
    </fill>
    <fill>
      <patternFill patternType="solid">
        <fgColor rgb="FFFFFFFF"/>
      </patternFill>
    </fill>
    <fill>
      <patternFill patternType="solid">
        <fgColor rgb="FFB6D7A8"/>
      </patternFill>
    </fill>
    <fill>
      <patternFill patternType="solid">
        <fgColor rgb="FFFFF2CC"/>
      </patternFill>
    </fill>
    <fill>
      <patternFill patternType="solid">
        <fgColor rgb="FF43434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19050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vOps'!A1" TargetMode="External" Id="rId1"/><Relationship Type="http://schemas.openxmlformats.org/officeDocument/2006/relationships/hyperlink" Target="#'&#1057;&#1084;&#1072;&#1088;&#1090; &#1082;&#1086;&#1085;&#1090;&#1088;&#1072;&#1082;&#1090;&#1099;'!A1" TargetMode="External" Id="rId2"/><Relationship Type="http://schemas.openxmlformats.org/officeDocument/2006/relationships/hyperlink" Target="#'&#1041;&#1101;&#1082;&#1077;&#1085;&#1076;'!A1" TargetMode="External" Id="rId3"/><Relationship Type="http://schemas.openxmlformats.org/officeDocument/2006/relationships/hyperlink" Target="#'&#1060;&#1088;&#1086;&#1085;&#1090;&#1077;&#1085;&#1076;'!A1" TargetMode="External" Id="rId4"/><Relationship Type="http://schemas.openxmlformats.org/officeDocument/2006/relationships/hyperlink" Target="#'QA'!A1" TargetMode="External" Id="rId5"/><Relationship Type="http://schemas.openxmlformats.org/officeDocument/2006/relationships/hyperlink" Target="#'&#1040;&#1085;&#1072;&#1083;&#1080;&#1090;&#1080;&#1082;'!A1" TargetMode="External" Id="rId6"/><Relationship Type="http://schemas.openxmlformats.org/officeDocument/2006/relationships/hyperlink" Target="#'&#1052;&#1077;&#1085;&#1077;&#1076;&#1078;&#1084;&#1077;&#1085;&#1090;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.5" customWidth="1" min="1" max="1"/>
    <col width="28" customWidth="1" min="2" max="2"/>
    <col width="7" customWidth="1" min="3" max="3"/>
    <col width="10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Команда</t>
        </is>
      </c>
      <c r="C2" s="2" t="inlineStr">
        <is>
          <t>Кол-во</t>
        </is>
      </c>
      <c r="D2" s="2" t="inlineStr">
        <is>
          <t>Рейт ($/Ч)</t>
        </is>
      </c>
      <c r="E2" s="3" t="inlineStr">
        <is>
          <t>О. Часы</t>
        </is>
      </c>
      <c r="F2" s="3" t="inlineStr">
        <is>
          <t>П. Часы</t>
        </is>
      </c>
      <c r="G2" s="3" t="inlineStr">
        <is>
          <t>О. Цена</t>
        </is>
      </c>
      <c r="H2" s="3" t="inlineStr">
        <is>
          <t>П. Цена</t>
        </is>
      </c>
    </row>
    <row r="3">
      <c r="A3" s="4" t="inlineStr">
        <is>
          <t>1</t>
        </is>
      </c>
      <c r="B3" s="5" t="inlineStr">
        <is>
          <t>DevOps</t>
        </is>
      </c>
      <c r="C3" s="6" t="n">
        <v>1</v>
      </c>
      <c r="D3" s="7" t="n">
        <v>60</v>
      </c>
      <c r="E3" s="8">
        <f>'DevOps'!E3</f>
        <v/>
      </c>
      <c r="F3" s="8">
        <f>'DevOps'!F3</f>
        <v/>
      </c>
      <c r="G3" s="8">
        <f>'DevOps'!G3</f>
        <v/>
      </c>
      <c r="H3" s="8">
        <f>'DevOps'!H3</f>
        <v/>
      </c>
    </row>
    <row r="4">
      <c r="A4" s="4" t="inlineStr">
        <is>
          <t>2</t>
        </is>
      </c>
      <c r="B4" s="5" t="inlineStr">
        <is>
          <t>Смарт-контракты</t>
        </is>
      </c>
      <c r="C4" s="6" t="n">
        <v>1</v>
      </c>
      <c r="D4" s="7" t="n">
        <v>50</v>
      </c>
      <c r="E4" s="8">
        <f>'Смарт контракты'!E3</f>
        <v/>
      </c>
      <c r="F4" s="8">
        <f>'Смарт контракты'!F3</f>
        <v/>
      </c>
      <c r="G4" s="8">
        <f>'Смарт контракты'!G3</f>
        <v/>
      </c>
      <c r="H4" s="8">
        <f>'Смарт контракты'!H3</f>
        <v/>
      </c>
    </row>
    <row r="5">
      <c r="A5" s="4" t="inlineStr">
        <is>
          <t>3</t>
        </is>
      </c>
      <c r="B5" s="5" t="inlineStr">
        <is>
          <t>Бэкенд-разработка</t>
        </is>
      </c>
      <c r="C5" s="6" t="n">
        <v>2</v>
      </c>
      <c r="D5" s="7" t="inlineStr">
        <is>
          <t>42-62</t>
        </is>
      </c>
      <c r="E5" s="8">
        <f>'Бэкенд'!E3</f>
        <v/>
      </c>
      <c r="F5" s="8">
        <f>'Бэкенд'!F3</f>
        <v/>
      </c>
      <c r="G5" s="8">
        <f>'Бэкенд'!G3</f>
        <v/>
      </c>
      <c r="H5" s="8">
        <f>'Бэкенд'!H3</f>
        <v/>
      </c>
    </row>
    <row r="6">
      <c r="A6" s="4" t="inlineStr">
        <is>
          <t>4</t>
        </is>
      </c>
      <c r="B6" s="5" t="inlineStr">
        <is>
          <t>Фронтенд-разработка</t>
        </is>
      </c>
      <c r="C6" s="6" t="n">
        <v>1</v>
      </c>
      <c r="D6" s="7" t="n">
        <v>40</v>
      </c>
      <c r="E6" s="8">
        <f>'Фронтенд'!E3</f>
        <v/>
      </c>
      <c r="F6" s="8">
        <f>'Фронтенд'!F3</f>
        <v/>
      </c>
      <c r="G6" s="8">
        <f>'Фронтенд'!G3</f>
        <v/>
      </c>
      <c r="H6" s="8">
        <f>'Фронтенд'!H3</f>
        <v/>
      </c>
    </row>
    <row r="7">
      <c r="A7" s="4" t="inlineStr">
        <is>
          <t>5</t>
        </is>
      </c>
      <c r="B7" s="5" t="inlineStr">
        <is>
          <t>Контроль качества (QA)</t>
        </is>
      </c>
      <c r="C7" s="6" t="n">
        <v>1</v>
      </c>
      <c r="D7" s="7" t="n">
        <v>30</v>
      </c>
      <c r="E7" s="8">
        <f>'QA'!E3</f>
        <v/>
      </c>
      <c r="F7" s="8">
        <f>'QA'!F3</f>
        <v/>
      </c>
      <c r="G7" s="8">
        <f>'QA'!G3</f>
        <v/>
      </c>
      <c r="H7" s="8">
        <f>'QA'!H3</f>
        <v/>
      </c>
    </row>
    <row r="8">
      <c r="A8" s="4" t="inlineStr">
        <is>
          <t>6</t>
        </is>
      </c>
      <c r="B8" s="5" t="inlineStr">
        <is>
          <t>UX/UI Аналитик</t>
        </is>
      </c>
      <c r="C8" s="6" t="n">
        <v>1</v>
      </c>
      <c r="D8" s="7" t="n">
        <v>40</v>
      </c>
      <c r="E8" s="8">
        <f>'Аналитик'!E3</f>
        <v/>
      </c>
      <c r="F8" s="8">
        <f>'Аналитик'!F3</f>
        <v/>
      </c>
      <c r="G8" s="8">
        <f>'Аналитик'!G3</f>
        <v/>
      </c>
      <c r="H8" s="8">
        <f>'Аналитик'!H3</f>
        <v/>
      </c>
    </row>
    <row r="9">
      <c r="A9" s="4" t="inlineStr">
        <is>
          <t>7</t>
        </is>
      </c>
      <c r="B9" s="5" t="inlineStr">
        <is>
          <t>Менеджмент</t>
        </is>
      </c>
      <c r="C9" s="6" t="n">
        <v>1</v>
      </c>
      <c r="D9" s="7" t="n">
        <v>30</v>
      </c>
      <c r="E9" s="8">
        <f>'Менеджмент'!E3</f>
        <v/>
      </c>
      <c r="F9" s="8">
        <f>'Менеджмент'!F3</f>
        <v/>
      </c>
      <c r="G9" s="8">
        <f>'Менеджмент'!G3</f>
        <v/>
      </c>
      <c r="H9" s="8">
        <f>'Менеджмент'!H3</f>
        <v/>
      </c>
    </row>
    <row r="10" ht="3" customHeight="1"/>
    <row r="11">
      <c r="A11" s="9" t="inlineStr">
        <is>
          <t>СТОИМОСТЬ РАБОТ</t>
        </is>
      </c>
      <c r="E11" s="10">
        <f>SUM(E3:E9)</f>
        <v/>
      </c>
      <c r="F11" s="10">
        <f>SUM(F3:F9)</f>
        <v/>
      </c>
      <c r="G11" s="10">
        <f>SUM(G3:G9)</f>
        <v/>
      </c>
      <c r="H11" s="10">
        <f>SUM(H3:H9)</f>
        <v/>
      </c>
    </row>
    <row r="13">
      <c r="A13" s="11" t="inlineStr">
        <is>
          <t>Оценка действительна в течение 30 дней (до 01-05-2026).</t>
        </is>
      </c>
      <c r="E13" s="12" t="inlineStr">
        <is>
          <t>ПРИБЛ. ЦЕНА:</t>
        </is>
      </c>
      <c r="G13" s="13">
        <f>G11</f>
        <v/>
      </c>
      <c r="H13" s="13">
        <f>H11</f>
        <v/>
      </c>
    </row>
  </sheetData>
  <mergeCells count="4">
    <mergeCell ref="A11:D11"/>
    <mergeCell ref="A13:D13"/>
    <mergeCell ref="B1:H1"/>
    <mergeCell ref="E13:F13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</hyperlinks>
  <pageMargins left="0.75" right="0.75" top="1" bottom="1" header="0.5" footer="0.5"/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DevOps</t>
        </is>
      </c>
      <c r="C3" s="16" t="n">
        <v>60</v>
      </c>
      <c r="D3" s="16" t="n"/>
      <c r="E3" s="6">
        <f>SUM(E4:E12)</f>
        <v/>
      </c>
      <c r="F3" s="6">
        <f>SUM(F4:F12)</f>
        <v/>
      </c>
      <c r="G3" s="6">
        <f>SUM(G4:G12)</f>
        <v/>
      </c>
      <c r="H3" s="6">
        <f>SUM(H4:H12)</f>
        <v/>
      </c>
    </row>
    <row r="4">
      <c r="A4" s="4" t="inlineStr">
        <is>
          <t>1.1</t>
        </is>
      </c>
      <c r="B4" s="17" t="inlineStr">
        <is>
          <t>DevOps: Инфраструктура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1.1.1</t>
        </is>
      </c>
      <c r="B5" s="20" t="inlineStr">
        <is>
          <t>Создание и настройка репозиториев
- Backend, Frontend, Contracts — структура, README, права доступа</t>
        </is>
      </c>
      <c r="C5" s="19" t="inlineStr"/>
      <c r="D5" s="21" t="inlineStr">
        <is>
          <t>DEVELOPMENT</t>
        </is>
      </c>
      <c r="E5" s="22" t="n">
        <v>4</v>
      </c>
      <c r="F5" s="22" t="n">
        <v>8</v>
      </c>
      <c r="G5" s="22">
        <f>E5*$C$3</f>
        <v/>
      </c>
      <c r="H5" s="22">
        <f>F5*$C$3</f>
        <v/>
      </c>
    </row>
    <row r="6">
      <c r="A6" s="19" t="inlineStr">
        <is>
          <t>1.1.2</t>
        </is>
      </c>
      <c r="B6" s="20" t="inlineStr">
        <is>
          <t>Настройка CI/CD pipelines
- Сборка, линтинг, тесты, деплой для всех репозиториев</t>
        </is>
      </c>
      <c r="C6" s="19" t="inlineStr"/>
      <c r="D6" s="21" t="inlineStr">
        <is>
          <t>DEVELOPMENT</t>
        </is>
      </c>
      <c r="E6" s="22" t="n">
        <v>8</v>
      </c>
      <c r="F6" s="22" t="n">
        <v>16</v>
      </c>
      <c r="G6" s="22">
        <f>E6*$C$3</f>
        <v/>
      </c>
      <c r="H6" s="22">
        <f>F6*$C$3</f>
        <v/>
      </c>
    </row>
    <row r="7">
      <c r="A7" s="19" t="inlineStr">
        <is>
          <t>1.1.3</t>
        </is>
      </c>
      <c r="B7" s="20" t="inlineStr">
        <is>
          <t>Настройка PostgreSQL
- Установка, конфигурация, резервное копирование</t>
        </is>
      </c>
      <c r="C7" s="19" t="inlineStr"/>
      <c r="D7" s="21" t="inlineStr">
        <is>
          <t>DEVELOPMENT</t>
        </is>
      </c>
      <c r="E7" s="22" t="n">
        <v>8</v>
      </c>
      <c r="F7" s="22" t="n">
        <v>16</v>
      </c>
      <c r="G7" s="22">
        <f>E7*$C$3</f>
        <v/>
      </c>
      <c r="H7" s="22">
        <f>F7*$C$3</f>
        <v/>
      </c>
    </row>
    <row r="8">
      <c r="A8" s="19" t="inlineStr">
        <is>
          <t>1.1.4</t>
        </is>
      </c>
      <c r="B8" s="20" t="inlineStr">
        <is>
          <t>Настройка Redis
- Кэш, очереди, сессии</t>
        </is>
      </c>
      <c r="C8" s="19" t="inlineStr"/>
      <c r="D8" s="21" t="inlineStr">
        <is>
          <t>DEVELOPMENT</t>
        </is>
      </c>
      <c r="E8" s="22" t="n">
        <v>8</v>
      </c>
      <c r="F8" s="22" t="n">
        <v>16</v>
      </c>
      <c r="G8" s="22">
        <f>E8*$C$3</f>
        <v/>
      </c>
      <c r="H8" s="22">
        <f>F8*$C$3</f>
        <v/>
      </c>
    </row>
    <row r="9">
      <c r="A9" s="19" t="inlineStr">
        <is>
          <t>1.1.5</t>
        </is>
      </c>
      <c r="B9" s="20" t="inlineStr">
        <is>
          <t>Настройка HashiCorp Vault
- Хранение секретов, ключей шифрования</t>
        </is>
      </c>
      <c r="C9" s="19" t="inlineStr"/>
      <c r="D9" s="21" t="inlineStr">
        <is>
          <t>DEVELOPMENT</t>
        </is>
      </c>
      <c r="E9" s="22" t="n">
        <v>8</v>
      </c>
      <c r="F9" s="22" t="n">
        <v>16</v>
      </c>
      <c r="G9" s="22">
        <f>E9*$C$3</f>
        <v/>
      </c>
      <c r="H9" s="22">
        <f>F9*$C$3</f>
        <v/>
      </c>
    </row>
    <row r="10">
      <c r="A10" s="19" t="inlineStr">
        <is>
          <t>1.1.6</t>
        </is>
      </c>
      <c r="B10" s="20" t="inlineStr">
        <is>
          <t>Настройка Nginx и доменов
- Reverse proxy, SSL, rate limiting, DNS</t>
        </is>
      </c>
      <c r="C10" s="19" t="inlineStr"/>
      <c r="D10" s="21" t="inlineStr">
        <is>
          <t>DEVELOPMENT</t>
        </is>
      </c>
      <c r="E10" s="22" t="n">
        <v>16</v>
      </c>
      <c r="F10" s="22" t="n">
        <v>24</v>
      </c>
      <c r="G10" s="22">
        <f>E10*$C$3</f>
        <v/>
      </c>
      <c r="H10" s="22">
        <f>F10*$C$3</f>
        <v/>
      </c>
    </row>
    <row r="11">
      <c r="A11" s="19" t="inlineStr">
        <is>
          <t>1.1.7</t>
        </is>
      </c>
      <c r="B11" s="20" t="inlineStr">
        <is>
          <t>Настройка мониторинга и алертинга
- Prometheus, Grafana, PagerDuty/Slack интеграция</t>
        </is>
      </c>
      <c r="C11" s="19" t="inlineStr"/>
      <c r="D11" s="21" t="inlineStr">
        <is>
          <t>DEVELOPMENT</t>
        </is>
      </c>
      <c r="E11" s="22" t="n">
        <v>16</v>
      </c>
      <c r="F11" s="22" t="n">
        <v>24</v>
      </c>
      <c r="G11" s="22">
        <f>E11*$C$3</f>
        <v/>
      </c>
      <c r="H11" s="22">
        <f>F11*$C$3</f>
        <v/>
      </c>
    </row>
    <row r="12">
      <c r="A12" s="19" t="inlineStr">
        <is>
          <t>1.1.8</t>
        </is>
      </c>
      <c r="B12" s="20" t="inlineStr">
        <is>
          <t>Настройка централизованного логирования</t>
        </is>
      </c>
      <c r="C12" s="19" t="inlineStr"/>
      <c r="D12" s="21" t="inlineStr">
        <is>
          <t>DEVELOPMENT</t>
        </is>
      </c>
      <c r="E12" s="22" t="n">
        <v>16</v>
      </c>
      <c r="F12" s="22" t="n">
        <v>16</v>
      </c>
      <c r="G12" s="22">
        <f>E12*$C$3</f>
        <v/>
      </c>
      <c r="H12" s="22">
        <f>F12*$C$3</f>
        <v/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Смарт контракты</t>
        </is>
      </c>
      <c r="C3" s="16" t="n">
        <v>50</v>
      </c>
      <c r="D3" s="16" t="n"/>
      <c r="E3" s="6">
        <f>SUM(E4:E10)</f>
        <v/>
      </c>
      <c r="F3" s="6">
        <f>SUM(F4:F10)</f>
        <v/>
      </c>
      <c r="G3" s="6">
        <f>SUM(G4:G10)</f>
        <v/>
      </c>
      <c r="H3" s="6">
        <f>SUM(H4:H10)</f>
        <v/>
      </c>
    </row>
    <row r="4">
      <c r="A4" s="4" t="inlineStr">
        <is>
          <t>2.1</t>
        </is>
      </c>
      <c r="B4" s="17" t="inlineStr">
        <is>
          <t>Смарт-контракты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2.1.1</t>
        </is>
      </c>
      <c r="B5" s="20" t="inlineStr">
        <is>
          <t>Разработка EscrowFactory
- Создание прокси-контрактов, события, access control</t>
        </is>
      </c>
      <c r="C5" s="19" t="inlineStr"/>
      <c r="D5" s="21" t="inlineStr">
        <is>
          <t>DEVELOPMENT</t>
        </is>
      </c>
      <c r="E5" s="22" t="n">
        <v>8</v>
      </c>
      <c r="F5" s="22" t="n">
        <v>12</v>
      </c>
      <c r="G5" s="22">
        <f>E5*$C$3</f>
        <v/>
      </c>
      <c r="H5" s="22">
        <f>F5*$C$3</f>
        <v/>
      </c>
    </row>
    <row r="6">
      <c r="A6" s="19" t="inlineStr">
        <is>
          <t>2.1.2</t>
        </is>
      </c>
      <c r="B6" s="20" t="inlineStr">
        <is>
          <t>Разработка Escrow Implementation
- Логика депозита, релиза, refund, referral link, resolveDispute, интеграция USDT</t>
        </is>
      </c>
      <c r="C6" s="19" t="inlineStr"/>
      <c r="D6" s="21" t="inlineStr">
        <is>
          <t>DEVELOPMENT</t>
        </is>
      </c>
      <c r="E6" s="22" t="n">
        <v>16</v>
      </c>
      <c r="F6" s="22" t="n">
        <v>24</v>
      </c>
      <c r="G6" s="22">
        <f>E6*$C$3</f>
        <v/>
      </c>
      <c r="H6" s="22">
        <f>F6*$C$3</f>
        <v/>
      </c>
    </row>
    <row r="7">
      <c r="A7" s="19" t="inlineStr">
        <is>
          <t>2.1.3</t>
        </is>
      </c>
      <c r="B7" s="20" t="inlineStr">
        <is>
          <t>Написание unit и integration тестов
- Покрытие всех функций, happy path, edge cases, gas optimization</t>
        </is>
      </c>
      <c r="C7" s="19" t="inlineStr"/>
      <c r="D7" s="21" t="inlineStr">
        <is>
          <t>DEVELOPMENT</t>
        </is>
      </c>
      <c r="E7" s="22" t="n">
        <v>12</v>
      </c>
      <c r="F7" s="22" t="n">
        <v>20</v>
      </c>
      <c r="G7" s="22">
        <f>E7*$C$3</f>
        <v/>
      </c>
      <c r="H7" s="22">
        <f>F7*$C$3</f>
        <v/>
      </c>
    </row>
    <row r="8">
      <c r="A8" s="19" t="inlineStr">
        <is>
          <t>2.1.4</t>
        </is>
      </c>
      <c r="B8" s="20" t="inlineStr">
        <is>
          <t>Деплой в testnet (Sepolia)
- Factory + Implementation, верификация в Etherscan</t>
        </is>
      </c>
      <c r="C8" s="19" t="inlineStr"/>
      <c r="D8" s="21" t="inlineStr">
        <is>
          <t>DEVELOPMENT</t>
        </is>
      </c>
      <c r="E8" s="22" t="n">
        <v>4</v>
      </c>
      <c r="F8" s="22" t="n">
        <v>4</v>
      </c>
      <c r="G8" s="22">
        <f>E8*$C$3</f>
        <v/>
      </c>
      <c r="H8" s="22">
        <f>F8*$C$3</f>
        <v/>
      </c>
    </row>
    <row r="9">
      <c r="A9" s="19" t="inlineStr">
        <is>
          <t>2.1.5</t>
        </is>
      </c>
      <c r="B9" s="20" t="inlineStr">
        <is>
          <t>Деплой в mainnet
- Factory + Implementation, настройка мультисиг/Fireblocks</t>
        </is>
      </c>
      <c r="C9" s="19" t="inlineStr"/>
      <c r="D9" s="21" t="inlineStr">
        <is>
          <t>DEVELOPMENT</t>
        </is>
      </c>
      <c r="E9" s="22" t="n">
        <v>16</v>
      </c>
      <c r="F9" s="22" t="n">
        <v>16</v>
      </c>
      <c r="G9" s="22">
        <f>E9*$C$3</f>
        <v/>
      </c>
      <c r="H9" s="22">
        <f>F9*$C$3</f>
        <v/>
      </c>
    </row>
    <row r="10">
      <c r="A10" s="19" t="inlineStr">
        <is>
          <t>2.1.6</t>
        </is>
      </c>
      <c r="B10" s="20" t="inlineStr">
        <is>
          <t>Аудит безопасности
- Внешний аудит, исправление найденных проблем</t>
        </is>
      </c>
      <c r="C10" s="19" t="inlineStr"/>
      <c r="D10" s="21" t="inlineStr">
        <is>
          <t>DEVELOPMENT</t>
        </is>
      </c>
      <c r="E10" s="22" t="n">
        <v>8</v>
      </c>
      <c r="F10" s="22" t="n">
        <v>8</v>
      </c>
      <c r="G10" s="22">
        <f>E10*$C$3</f>
        <v/>
      </c>
      <c r="H10" s="22">
        <f>F10*$C$3</f>
        <v/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Бэкенд</t>
        </is>
      </c>
      <c r="C3" s="16" t="n"/>
      <c r="D3" s="16" t="n"/>
      <c r="E3" s="6">
        <f>SUM(E4:E46)</f>
        <v/>
      </c>
      <c r="F3" s="6">
        <f>SUM(F4:F46)</f>
        <v/>
      </c>
      <c r="G3" s="6">
        <f>SUM(G4:G46)</f>
        <v/>
      </c>
      <c r="H3" s="6">
        <f>SUM(H4:H46)</f>
        <v/>
      </c>
    </row>
    <row r="4">
      <c r="A4" s="4" t="inlineStr">
        <is>
          <t>3.1</t>
        </is>
      </c>
      <c r="B4" s="17" t="inlineStr">
        <is>
          <t>Backend (Monolith): Инициализация NestJS проекта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3.1.1</t>
        </is>
      </c>
      <c r="B5" s="20" t="inlineStr">
        <is>
          <t>Настройка инфраструктуры
- TypeORM (PostgreSQL), Redis, Bull Queue, валидация</t>
        </is>
      </c>
      <c r="C5" s="19" t="n">
        <v>62</v>
      </c>
      <c r="D5" s="21" t="inlineStr">
        <is>
          <t>DEVELOPMENT</t>
        </is>
      </c>
      <c r="E5" s="22" t="n">
        <v>16</v>
      </c>
      <c r="F5" s="22" t="n">
        <v>24</v>
      </c>
      <c r="G5" s="22">
        <f>E5*C5</f>
        <v/>
      </c>
      <c r="H5" s="22">
        <f>F5*C5</f>
        <v/>
      </c>
    </row>
    <row r="6">
      <c r="A6" s="19" t="inlineStr">
        <is>
          <t>3.1.2</t>
        </is>
      </c>
      <c r="B6" s="20" t="inlineStr">
        <is>
          <t>Разработка Shared Layer
- Database Service, Cache Service, Queue Service, Auth Service</t>
        </is>
      </c>
      <c r="C6" s="19" t="n">
        <v>62</v>
      </c>
      <c r="D6" s="21" t="inlineStr">
        <is>
          <t>DEVELOPMENT</t>
        </is>
      </c>
      <c r="E6" s="22" t="n">
        <v>20</v>
      </c>
      <c r="F6" s="22" t="n">
        <v>28</v>
      </c>
      <c r="G6" s="22">
        <f>E6*C6</f>
        <v/>
      </c>
      <c r="H6" s="22">
        <f>F6*C6</f>
        <v/>
      </c>
    </row>
    <row r="7">
      <c r="A7" s="19" t="inlineStr">
        <is>
          <t>3.1.3</t>
        </is>
      </c>
      <c r="B7" s="20" t="inlineStr">
        <is>
          <t>Разработка Blockchain Service
- Ethers.js интеграция, RPC, индексатор событий</t>
        </is>
      </c>
      <c r="C7" s="19" t="n">
        <v>62</v>
      </c>
      <c r="D7" s="21" t="inlineStr">
        <is>
          <t>DEVELOPMENT</t>
        </is>
      </c>
      <c r="E7" s="22" t="n">
        <v>16</v>
      </c>
      <c r="F7" s="22" t="n">
        <v>24</v>
      </c>
      <c r="G7" s="22">
        <f>E7*C7</f>
        <v/>
      </c>
      <c r="H7" s="22">
        <f>F7*C7</f>
        <v/>
      </c>
    </row>
    <row r="8">
      <c r="A8" s="19" t="inlineStr">
        <is>
          <t>3.1.4</t>
        </is>
      </c>
      <c r="B8" s="20" t="inlineStr">
        <is>
          <t>Разработка Encryption Service
- AES-256 для шифрования реквизитов</t>
        </is>
      </c>
      <c r="C8" s="19" t="n">
        <v>62</v>
      </c>
      <c r="D8" s="21" t="inlineStr">
        <is>
          <t>DEVELOPMENT</t>
        </is>
      </c>
      <c r="E8" s="22" t="n">
        <v>8</v>
      </c>
      <c r="F8" s="22" t="n">
        <v>16</v>
      </c>
      <c r="G8" s="22">
        <f>E8*C8</f>
        <v/>
      </c>
      <c r="H8" s="22">
        <f>F8*C8</f>
        <v/>
      </c>
    </row>
    <row r="9">
      <c r="A9" s="4" t="inlineStr">
        <is>
          <t>3.2</t>
        </is>
      </c>
      <c r="B9" s="17" t="inlineStr">
        <is>
          <t>Backend (Monolith): User Module</t>
        </is>
      </c>
      <c r="C9" s="18" t="inlineStr"/>
      <c r="D9" s="18" t="inlineStr"/>
      <c r="E9" s="18" t="inlineStr"/>
      <c r="F9" s="18" t="inlineStr"/>
      <c r="G9" s="18" t="inlineStr"/>
      <c r="H9" s="18" t="inlineStr"/>
    </row>
    <row r="10">
      <c r="A10" s="19" t="inlineStr">
        <is>
          <t>3.2.1</t>
        </is>
      </c>
      <c r="B10" s="20" t="inlineStr">
        <is>
          <t>Создание сущностей
- User (с полями реферальной программы: referrer_id, referrer_wallet, referral_code), Wallet, KycStatus, UserLevel — таблицы, связи, индексы</t>
        </is>
      </c>
      <c r="C10" s="19" t="n">
        <v>42</v>
      </c>
      <c r="D10" s="21" t="inlineStr">
        <is>
          <t>DEVELOPMENT</t>
        </is>
      </c>
      <c r="E10" s="22" t="n">
        <v>12</v>
      </c>
      <c r="F10" s="22" t="n">
        <v>20</v>
      </c>
      <c r="G10" s="22">
        <f>E10*C10</f>
        <v/>
      </c>
      <c r="H10" s="22">
        <f>F10*C10</f>
        <v/>
      </c>
    </row>
    <row r="11">
      <c r="A11" s="19" t="inlineStr">
        <is>
          <t>3.2.2</t>
        </is>
      </c>
      <c r="B11" s="20" t="inlineStr">
        <is>
          <t>Разработка API
- Регистрация, авторизация (Web3 + JWT), профиль, привязка кошелька</t>
        </is>
      </c>
      <c r="C11" s="19" t="n">
        <v>42</v>
      </c>
      <c r="D11" s="21" t="inlineStr">
        <is>
          <t>DEVELOPMENT</t>
        </is>
      </c>
      <c r="E11" s="22" t="n">
        <v>20</v>
      </c>
      <c r="F11" s="22" t="n">
        <v>28</v>
      </c>
      <c r="G11" s="22">
        <f>E11*C11</f>
        <v/>
      </c>
      <c r="H11" s="22">
        <f>F11*C11</f>
        <v/>
      </c>
    </row>
    <row r="12">
      <c r="A12" s="19" t="inlineStr">
        <is>
          <t>3.2.3</t>
        </is>
      </c>
      <c r="B12" s="20" t="inlineStr">
        <is>
          <t>Реализация уровней доступа
- Проверка прав, лимиты</t>
        </is>
      </c>
      <c r="C12" s="19" t="n">
        <v>42</v>
      </c>
      <c r="D12" s="21" t="inlineStr">
        <is>
          <t>DEVELOPMENT</t>
        </is>
      </c>
      <c r="E12" s="22" t="n">
        <v>16</v>
      </c>
      <c r="F12" s="22" t="n">
        <v>24</v>
      </c>
      <c r="G12" s="22">
        <f>E12*C12</f>
        <v/>
      </c>
      <c r="H12" s="22">
        <f>F12*C12</f>
        <v/>
      </c>
    </row>
    <row r="13">
      <c r="A13" s="4" t="inlineStr">
        <is>
          <t>3.3</t>
        </is>
      </c>
      <c r="B13" s="17" t="inlineStr">
        <is>
          <t>Backend (Monolith): Trading Module</t>
        </is>
      </c>
      <c r="C13" s="18" t="inlineStr"/>
      <c r="D13" s="18" t="inlineStr"/>
      <c r="E13" s="18" t="inlineStr"/>
      <c r="F13" s="18" t="inlineStr"/>
      <c r="G13" s="18" t="inlineStr"/>
      <c r="H13" s="18" t="inlineStr"/>
    </row>
    <row r="14">
      <c r="A14" s="19" t="inlineStr">
        <is>
          <t>3.3.1</t>
        </is>
      </c>
      <c r="B14" s="20" t="inlineStr">
        <is>
          <t>Создание сущностей
- Order, Deal, EscrowContract — таблицы, связи</t>
        </is>
      </c>
      <c r="C14" s="19" t="n">
        <v>62</v>
      </c>
      <c r="D14" s="21" t="inlineStr">
        <is>
          <t>DEVELOPMENT</t>
        </is>
      </c>
      <c r="E14" s="22" t="n">
        <v>8</v>
      </c>
      <c r="F14" s="22" t="n">
        <v>16</v>
      </c>
      <c r="G14" s="22">
        <f>E14*C14</f>
        <v/>
      </c>
      <c r="H14" s="22">
        <f>F14*C14</f>
        <v/>
      </c>
    </row>
    <row r="15">
      <c r="A15" s="19" t="inlineStr">
        <is>
          <t>3.3.2</t>
        </is>
      </c>
      <c r="B15" s="20" t="inlineStr">
        <is>
          <t>Разработка Order API
- CRUD ордеров, стакан, фильтрация, WebSocket для real-time</t>
        </is>
      </c>
      <c r="C15" s="19" t="n">
        <v>62</v>
      </c>
      <c r="D15" s="21" t="inlineStr">
        <is>
          <t>DEVELOPMENT</t>
        </is>
      </c>
      <c r="E15" s="22" t="n">
        <v>24</v>
      </c>
      <c r="F15" s="22" t="n">
        <v>40</v>
      </c>
      <c r="G15" s="22">
        <f>E15*C15</f>
        <v/>
      </c>
      <c r="H15" s="22">
        <f>F15*C15</f>
        <v/>
      </c>
    </row>
    <row r="16">
      <c r="A16" s="19" t="inlineStr">
        <is>
          <t>3.3.3</t>
        </is>
      </c>
      <c r="B16" s="20" t="inlineStr">
        <is>
          <t>Разработка Deal API
- Инициация, деплой эскроу, обработка депозита, подтверждения</t>
        </is>
      </c>
      <c r="C16" s="19" t="n">
        <v>62</v>
      </c>
      <c r="D16" s="21" t="inlineStr">
        <is>
          <t>DEVELOPMENT</t>
        </is>
      </c>
      <c r="E16" s="22" t="n">
        <v>24</v>
      </c>
      <c r="F16" s="22" t="n">
        <v>40</v>
      </c>
      <c r="G16" s="22">
        <f>E16*C16</f>
        <v/>
      </c>
      <c r="H16" s="22">
        <f>F16*C16</f>
        <v/>
      </c>
    </row>
    <row r="17">
      <c r="A17" s="19" t="inlineStr">
        <is>
          <t>3.3.4</t>
        </is>
      </c>
      <c r="B17" s="20" t="inlineStr">
        <is>
          <t>Реализация жизненного цикла сделки
- Таймауты, авто-отмена, релиз, комиссия</t>
        </is>
      </c>
      <c r="C17" s="19" t="n">
        <v>62</v>
      </c>
      <c r="D17" s="21" t="inlineStr">
        <is>
          <t>DEVELOPMENT</t>
        </is>
      </c>
      <c r="E17" s="22" t="n">
        <v>24</v>
      </c>
      <c r="F17" s="22" t="n">
        <v>40</v>
      </c>
      <c r="G17" s="22">
        <f>E17*C17</f>
        <v/>
      </c>
      <c r="H17" s="22">
        <f>F17*C17</f>
        <v/>
      </c>
    </row>
    <row r="18">
      <c r="A18" s="19" t="inlineStr">
        <is>
          <t>3.3.5</t>
        </is>
      </c>
      <c r="B18" s="20" t="inlineStr">
        <is>
          <t>Реализация режима "Яма"
- Переговорные сделки, фиксация курса</t>
        </is>
      </c>
      <c r="C18" s="19" t="n">
        <v>62</v>
      </c>
      <c r="D18" s="21" t="inlineStr">
        <is>
          <t>DEVELOPMENT</t>
        </is>
      </c>
      <c r="E18" s="22" t="n">
        <v>24</v>
      </c>
      <c r="F18" s="22" t="n">
        <v>40</v>
      </c>
      <c r="G18" s="22">
        <f>E18*C18</f>
        <v/>
      </c>
      <c r="H18" s="22">
        <f>F18*C18</f>
        <v/>
      </c>
    </row>
    <row r="19">
      <c r="A19" s="4" t="inlineStr">
        <is>
          <t>3.4</t>
        </is>
      </c>
      <c r="B19" s="17" t="inlineStr">
        <is>
          <t>Backend (Monolith): Payment Module</t>
        </is>
      </c>
      <c r="C19" s="18" t="inlineStr"/>
      <c r="D19" s="18" t="inlineStr"/>
      <c r="E19" s="18" t="inlineStr"/>
      <c r="F19" s="18" t="inlineStr"/>
      <c r="G19" s="18" t="inlineStr"/>
      <c r="H19" s="18" t="inlineStr"/>
    </row>
    <row r="20">
      <c r="A20" s="19" t="inlineStr">
        <is>
          <t>3.4.1</t>
        </is>
      </c>
      <c r="B20" s="20" t="inlineStr">
        <is>
          <t>Создание сущности PaymentDetails
- Таблица, шифрование</t>
        </is>
      </c>
      <c r="C20" s="19" t="n">
        <v>62</v>
      </c>
      <c r="D20" s="21" t="inlineStr">
        <is>
          <t>DEVELOPMENT</t>
        </is>
      </c>
      <c r="E20" s="22" t="n">
        <v>4</v>
      </c>
      <c r="F20" s="22" t="n">
        <v>8</v>
      </c>
      <c r="G20" s="22">
        <f>E20*C20</f>
        <v/>
      </c>
      <c r="H20" s="22">
        <f>F20*C20</f>
        <v/>
      </c>
    </row>
    <row r="21">
      <c r="A21" s="19" t="inlineStr">
        <is>
          <t>3.4.2</t>
        </is>
      </c>
      <c r="B21" s="20" t="inlineStr">
        <is>
          <t>Разработка API
- CRUD реквизитов, передача в сделке после депозита</t>
        </is>
      </c>
      <c r="C21" s="19" t="n">
        <v>62</v>
      </c>
      <c r="D21" s="21" t="inlineStr">
        <is>
          <t>DEVELOPMENT</t>
        </is>
      </c>
      <c r="E21" s="22" t="n">
        <v>8</v>
      </c>
      <c r="F21" s="22" t="n">
        <v>8</v>
      </c>
      <c r="G21" s="22">
        <f>E21*C21</f>
        <v/>
      </c>
      <c r="H21" s="22">
        <f>F21*C21</f>
        <v/>
      </c>
    </row>
    <row r="22">
      <c r="A22" s="4" t="inlineStr">
        <is>
          <t>3.5</t>
        </is>
      </c>
      <c r="B22" s="17" t="inlineStr">
        <is>
          <t>Backend (Monolith): Dispute Module</t>
        </is>
      </c>
      <c r="C22" s="18" t="inlineStr"/>
      <c r="D22" s="18" t="inlineStr"/>
      <c r="E22" s="18" t="inlineStr"/>
      <c r="F22" s="18" t="inlineStr"/>
      <c r="G22" s="18" t="inlineStr"/>
      <c r="H22" s="18" t="inlineStr"/>
    </row>
    <row r="23">
      <c r="A23" s="19" t="inlineStr">
        <is>
          <t>3.5.1</t>
        </is>
      </c>
      <c r="B23" s="20" t="inlineStr">
        <is>
          <t>Создание сущностей
- Dispute — таблицы, статусы</t>
        </is>
      </c>
      <c r="C23" s="19" t="n">
        <v>42</v>
      </c>
      <c r="D23" s="21" t="inlineStr">
        <is>
          <t>DEVELOPMENT</t>
        </is>
      </c>
      <c r="E23" s="22" t="n">
        <v>8</v>
      </c>
      <c r="F23" s="22" t="n">
        <v>8</v>
      </c>
      <c r="G23" s="22">
        <f>E23*C23</f>
        <v/>
      </c>
      <c r="H23" s="22">
        <f>F23*C23</f>
        <v/>
      </c>
    </row>
    <row r="24">
      <c r="A24" s="19" t="inlineStr">
        <is>
          <t>3.5.2</t>
        </is>
      </c>
      <c r="B24" s="20" t="inlineStr">
        <is>
          <t>Разработка API
- Создание диспута, добавление доказательств, продление блокировки</t>
        </is>
      </c>
      <c r="C24" s="19" t="n">
        <v>42</v>
      </c>
      <c r="D24" s="21" t="inlineStr">
        <is>
          <t>DEVELOPMENT</t>
        </is>
      </c>
      <c r="E24" s="22" t="n">
        <v>16</v>
      </c>
      <c r="F24" s="22" t="n">
        <v>24</v>
      </c>
      <c r="G24" s="22">
        <f>E24*C24</f>
        <v/>
      </c>
      <c r="H24" s="22">
        <f>F24*C24</f>
        <v/>
      </c>
    </row>
    <row r="25">
      <c r="A25" s="19" t="inlineStr">
        <is>
          <t>3.5.3</t>
        </is>
      </c>
      <c r="B25" s="20" t="inlineStr">
        <is>
          <t>Разработка Admin API
- Список диспутов, просмотр, принятие решения, вызов resolveDispute</t>
        </is>
      </c>
      <c r="C25" s="19" t="n">
        <v>42</v>
      </c>
      <c r="D25" s="21" t="inlineStr">
        <is>
          <t>DEVELOPMENT</t>
        </is>
      </c>
      <c r="E25" s="22" t="n">
        <v>16</v>
      </c>
      <c r="F25" s="22" t="n">
        <v>24</v>
      </c>
      <c r="G25" s="22">
        <f>E25*C25</f>
        <v/>
      </c>
      <c r="H25" s="22">
        <f>F25*C25</f>
        <v/>
      </c>
    </row>
    <row r="26">
      <c r="A26" s="4" t="inlineStr">
        <is>
          <t>3.6</t>
        </is>
      </c>
      <c r="B26" s="17" t="inlineStr">
        <is>
          <t>Backend (Monolith): rating Module</t>
        </is>
      </c>
      <c r="C26" s="18" t="inlineStr"/>
      <c r="D26" s="18" t="inlineStr"/>
      <c r="E26" s="18" t="inlineStr"/>
      <c r="F26" s="18" t="inlineStr"/>
      <c r="G26" s="18" t="inlineStr"/>
      <c r="H26" s="18" t="inlineStr"/>
    </row>
    <row r="27">
      <c r="A27" s="19" t="inlineStr">
        <is>
          <t>3.6.1</t>
        </is>
      </c>
      <c r="B27" s="20" t="inlineStr">
        <is>
          <t>Создание сущностей
- Rating, RatingHistory</t>
        </is>
      </c>
      <c r="C27" s="19" t="n">
        <v>42</v>
      </c>
      <c r="D27" s="21" t="inlineStr">
        <is>
          <t>DEVELOPMENT</t>
        </is>
      </c>
      <c r="E27" s="22" t="n">
        <v>8</v>
      </c>
      <c r="F27" s="22" t="n">
        <v>8</v>
      </c>
      <c r="G27" s="22">
        <f>E27*C27</f>
        <v/>
      </c>
      <c r="H27" s="22">
        <f>F27*C27</f>
        <v/>
      </c>
    </row>
    <row r="28">
      <c r="A28" s="19" t="inlineStr">
        <is>
          <t>3.6.2</t>
        </is>
      </c>
      <c r="B28" s="20" t="inlineStr">
        <is>
          <t>Разработка Rating Service
- Расчет рейтинга (сделки, отмены, диспуты, объем)</t>
        </is>
      </c>
      <c r="C28" s="19" t="n">
        <v>42</v>
      </c>
      <c r="D28" s="21" t="inlineStr">
        <is>
          <t>DEVELOPMENT</t>
        </is>
      </c>
      <c r="E28" s="22" t="n">
        <v>12</v>
      </c>
      <c r="F28" s="22" t="n">
        <v>12</v>
      </c>
      <c r="G28" s="22">
        <f>E28*C28</f>
        <v/>
      </c>
      <c r="H28" s="22">
        <f>F28*C28</f>
        <v/>
      </c>
    </row>
    <row r="29">
      <c r="A29" s="4" t="inlineStr">
        <is>
          <t>3.7</t>
        </is>
      </c>
      <c r="B29" s="17" t="inlineStr">
        <is>
          <t>Backend (Monolith): Analytics Module</t>
        </is>
      </c>
      <c r="C29" s="18" t="inlineStr"/>
      <c r="D29" s="18" t="inlineStr"/>
      <c r="E29" s="18" t="inlineStr"/>
      <c r="F29" s="18" t="inlineStr"/>
      <c r="G29" s="18" t="inlineStr"/>
      <c r="H29" s="18" t="inlineStr"/>
    </row>
    <row r="30">
      <c r="A30" s="19" t="inlineStr">
        <is>
          <t>3.7.1</t>
        </is>
      </c>
      <c r="B30" s="20" t="inlineStr">
        <is>
          <t>Подключение стороннего сервиса аналитики
- Redash или др</t>
        </is>
      </c>
      <c r="C30" s="19" t="n">
        <v>42</v>
      </c>
      <c r="D30" s="21" t="inlineStr">
        <is>
          <t>DEVELOPMENT</t>
        </is>
      </c>
      <c r="E30" s="22" t="n">
        <v>4</v>
      </c>
      <c r="F30" s="22" t="n">
        <v>8</v>
      </c>
      <c r="G30" s="22">
        <f>E30*C30</f>
        <v/>
      </c>
      <c r="H30" s="22">
        <f>F30*C30</f>
        <v/>
      </c>
    </row>
    <row r="31">
      <c r="A31" s="4" t="inlineStr">
        <is>
          <t>3.8</t>
        </is>
      </c>
      <c r="B31" s="17" t="inlineStr">
        <is>
          <t>Backend (Monolith): Referral Module</t>
        </is>
      </c>
      <c r="C31" s="18" t="inlineStr"/>
      <c r="D31" s="18" t="inlineStr"/>
      <c r="E31" s="18" t="inlineStr"/>
      <c r="F31" s="18" t="inlineStr"/>
      <c r="G31" s="18" t="inlineStr"/>
      <c r="H31" s="18" t="inlineStr"/>
    </row>
    <row r="32">
      <c r="A32" s="19" t="inlineStr">
        <is>
          <t>3.8.1</t>
        </is>
      </c>
      <c r="B32" s="20" t="inlineStr">
        <is>
          <t>API генерации реферальной ссылки
- Уникальный код, URL</t>
        </is>
      </c>
      <c r="C32" s="19" t="n">
        <v>42</v>
      </c>
      <c r="D32" s="21" t="inlineStr">
        <is>
          <t>DEVELOPMENT</t>
        </is>
      </c>
      <c r="E32" s="22" t="n">
        <v>4</v>
      </c>
      <c r="F32" s="22" t="n">
        <v>8</v>
      </c>
      <c r="G32" s="22">
        <f>E32*C32</f>
        <v/>
      </c>
      <c r="H32" s="22">
        <f>F32*C32</f>
        <v/>
      </c>
    </row>
    <row r="33">
      <c r="A33" s="19" t="inlineStr">
        <is>
          <t>3.8.2</t>
        </is>
      </c>
      <c r="B33" s="20" t="inlineStr">
        <is>
          <t>API установки кошелька комиссий
- Валидация адреса</t>
        </is>
      </c>
      <c r="C33" s="19" t="n">
        <v>42</v>
      </c>
      <c r="D33" s="21" t="inlineStr">
        <is>
          <t>DEVELOPMENT</t>
        </is>
      </c>
      <c r="E33" s="22" t="n">
        <v>4</v>
      </c>
      <c r="F33" s="22" t="n">
        <v>8</v>
      </c>
      <c r="G33" s="22">
        <f>E33*C33</f>
        <v/>
      </c>
      <c r="H33" s="22">
        <f>F33*C33</f>
        <v/>
      </c>
    </row>
    <row r="34">
      <c r="A34" s="19" t="inlineStr">
        <is>
          <t>3.8.3</t>
        </is>
      </c>
      <c r="B34" s="20" t="inlineStr">
        <is>
          <t>Привязка при регистрации
- Парсинг ?ref=, сохранение referrer_id/wallet</t>
        </is>
      </c>
      <c r="C34" s="19" t="n">
        <v>42</v>
      </c>
      <c r="D34" s="21" t="inlineStr">
        <is>
          <t>DEVELOPMENT</t>
        </is>
      </c>
      <c r="E34" s="22" t="n">
        <v>4</v>
      </c>
      <c r="F34" s="22" t="n">
        <v>4</v>
      </c>
      <c r="G34" s="22">
        <f>E34*C34</f>
        <v/>
      </c>
      <c r="H34" s="22">
        <f>F34*C34</f>
        <v/>
      </c>
    </row>
    <row r="35">
      <c r="A35" s="19" t="inlineStr">
        <is>
          <t>3.8.4</t>
        </is>
      </c>
      <c r="B35" s="20" t="inlineStr">
        <is>
          <t>Интеграция со сделками
- Получение referrer_wallet при создании сделки, передача в контракт</t>
        </is>
      </c>
      <c r="C35" s="19" t="n">
        <v>42</v>
      </c>
      <c r="D35" s="21" t="inlineStr">
        <is>
          <t>DEVELOPMENT</t>
        </is>
      </c>
      <c r="E35" s="22" t="n">
        <v>8</v>
      </c>
      <c r="F35" s="22" t="n">
        <v>16</v>
      </c>
      <c r="G35" s="22">
        <f>E35*C35</f>
        <v/>
      </c>
      <c r="H35" s="22">
        <f>F35*C35</f>
        <v/>
      </c>
    </row>
    <row r="36">
      <c r="A36" s="19" t="inlineStr">
        <is>
          <t>3.8.5</t>
        </is>
      </c>
      <c r="B36" s="20" t="inlineStr">
        <is>
          <t>Создание сущности ReferralReward
- Хранение истории выплат</t>
        </is>
      </c>
      <c r="C36" s="19" t="n">
        <v>42</v>
      </c>
      <c r="D36" s="21" t="inlineStr">
        <is>
          <t>DEVELOPMENT</t>
        </is>
      </c>
      <c r="E36" s="22" t="n">
        <v>4</v>
      </c>
      <c r="F36" s="22" t="n">
        <v>8</v>
      </c>
      <c r="G36" s="22">
        <f>E36*C36</f>
        <v/>
      </c>
      <c r="H36" s="22">
        <f>F36*C36</f>
        <v/>
      </c>
    </row>
    <row r="37">
      <c r="A37" s="19" t="inlineStr">
        <is>
          <t>3.8.6</t>
        </is>
      </c>
      <c r="B37" s="20" t="inlineStr">
        <is>
          <t>API реферальной статистики
- Кол-во рефералов, сделок, сумма выплат, список</t>
        </is>
      </c>
      <c r="C37" s="19" t="n">
        <v>42</v>
      </c>
      <c r="D37" s="21" t="inlineStr">
        <is>
          <t>DEVELOPMENT</t>
        </is>
      </c>
      <c r="E37" s="22" t="n">
        <v>8</v>
      </c>
      <c r="F37" s="22" t="n">
        <v>16</v>
      </c>
      <c r="G37" s="22">
        <f>E37*C37</f>
        <v/>
      </c>
      <c r="H37" s="22">
        <f>F37*C37</f>
        <v/>
      </c>
    </row>
    <row r="38">
      <c r="A38" s="19" t="inlineStr">
        <is>
          <t>3.8.7</t>
        </is>
      </c>
      <c r="B38" s="20" t="inlineStr">
        <is>
          <t>Обработка событий выплат
- Обновление статистики при выплате из контракта</t>
        </is>
      </c>
      <c r="C38" s="19" t="n">
        <v>42</v>
      </c>
      <c r="D38" s="21" t="inlineStr">
        <is>
          <t>DEVELOPMENT</t>
        </is>
      </c>
      <c r="E38" s="22" t="n">
        <v>4</v>
      </c>
      <c r="F38" s="22" t="n">
        <v>12</v>
      </c>
      <c r="G38" s="22">
        <f>E38*C38</f>
        <v/>
      </c>
      <c r="H38" s="22">
        <f>F38*C38</f>
        <v/>
      </c>
    </row>
    <row r="39">
      <c r="A39" s="4" t="inlineStr">
        <is>
          <t>3.9</t>
        </is>
      </c>
      <c r="B39" s="17" t="inlineStr">
        <is>
          <t>Backend (Monolith): Миграции БД и документация</t>
        </is>
      </c>
      <c r="C39" s="18" t="inlineStr"/>
      <c r="D39" s="18" t="inlineStr"/>
      <c r="E39" s="18" t="inlineStr"/>
      <c r="F39" s="18" t="inlineStr"/>
      <c r="G39" s="18" t="inlineStr"/>
      <c r="H39" s="18" t="inlineStr"/>
    </row>
    <row r="40">
      <c r="A40" s="19" t="inlineStr">
        <is>
          <t>3.9.1</t>
        </is>
      </c>
      <c r="B40" s="20" t="inlineStr">
        <is>
          <t>Создание миграций
- Все таблицы с учетом реферальной программы: users (с полями referrer_id, referrer_wallet, referral_code), wallets, orders, deals, disputes, rating, referral_rewards и др.</t>
        </is>
      </c>
      <c r="C40" s="19" t="n">
        <v>62</v>
      </c>
      <c r="D40" s="21" t="inlineStr">
        <is>
          <t>DEVELOPMENT</t>
        </is>
      </c>
      <c r="E40" s="22" t="n">
        <v>16</v>
      </c>
      <c r="F40" s="22" t="n">
        <v>24</v>
      </c>
      <c r="G40" s="22">
        <f>E40*C40</f>
        <v/>
      </c>
      <c r="H40" s="22">
        <f>F40*C40</f>
        <v/>
      </c>
    </row>
    <row r="41">
      <c r="A41" s="19" t="inlineStr">
        <is>
          <t>3.9.2</t>
        </is>
      </c>
      <c r="B41" s="20" t="inlineStr">
        <is>
          <t>Настройка Swagger/OpenAPI
- Автогенерация документации для всех endpoints</t>
        </is>
      </c>
      <c r="C41" s="19" t="n">
        <v>62</v>
      </c>
      <c r="D41" s="21" t="inlineStr">
        <is>
          <t>DEVELOPMENT</t>
        </is>
      </c>
      <c r="E41" s="22" t="n">
        <v>8</v>
      </c>
      <c r="F41" s="22" t="n">
        <v>16</v>
      </c>
      <c r="G41" s="22">
        <f>E41*C41</f>
        <v/>
      </c>
      <c r="H41" s="22">
        <f>F41*C41</f>
        <v/>
      </c>
    </row>
    <row r="42">
      <c r="A42" s="4" t="inlineStr">
        <is>
          <t>3.10</t>
        </is>
      </c>
      <c r="B42" s="17" t="inlineStr">
        <is>
          <t>Интеграции</t>
        </is>
      </c>
      <c r="C42" s="18" t="inlineStr"/>
      <c r="D42" s="18" t="inlineStr"/>
      <c r="E42" s="18" t="inlineStr"/>
      <c r="F42" s="18" t="inlineStr"/>
      <c r="G42" s="18" t="inlineStr"/>
      <c r="H42" s="18" t="inlineStr"/>
    </row>
    <row r="43">
      <c r="A43" s="19" t="inlineStr">
        <is>
          <t>3.10.1</t>
        </is>
      </c>
      <c r="B43" s="20" t="inlineStr">
        <is>
          <t>KYC Интеграция
- Регистрация в провайдере (SumSub/Onfido), вебхуки, SDK на frontend, обработка статусов</t>
        </is>
      </c>
      <c r="C43" s="19" t="n">
        <v>42</v>
      </c>
      <c r="D43" s="21" t="inlineStr">
        <is>
          <t>DEVELOPMENT</t>
        </is>
      </c>
      <c r="E43" s="22" t="n">
        <v>16</v>
      </c>
      <c r="F43" s="22" t="n">
        <v>24</v>
      </c>
      <c r="G43" s="22">
        <f>E43*C43</f>
        <v/>
      </c>
      <c r="H43" s="22">
        <f>F43*C43</f>
        <v/>
      </c>
    </row>
    <row r="44">
      <c r="A44" s="19" t="inlineStr">
        <is>
          <t>3.10.2</t>
        </is>
      </c>
      <c r="B44" s="20" t="inlineStr">
        <is>
          <t>Чат Интеграция
- Регистрация в провайдере (Stream/PubNub), создание каналов, добавление участников, история</t>
        </is>
      </c>
      <c r="C44" s="19" t="n">
        <v>42</v>
      </c>
      <c r="D44" s="21" t="inlineStr">
        <is>
          <t>DEVELOPMENT</t>
        </is>
      </c>
      <c r="E44" s="22" t="n">
        <v>20</v>
      </c>
      <c r="F44" s="22" t="n">
        <v>32</v>
      </c>
      <c r="G44" s="22">
        <f>E44*C44</f>
        <v/>
      </c>
      <c r="H44" s="22">
        <f>F44*C44</f>
        <v/>
      </c>
    </row>
    <row r="45">
      <c r="A45" s="4" t="inlineStr">
        <is>
          <t>3.11</t>
        </is>
      </c>
      <c r="B45" s="17" t="inlineStr">
        <is>
          <t>Интеграции</t>
        </is>
      </c>
      <c r="C45" s="18" t="inlineStr"/>
      <c r="D45" s="18" t="inlineStr"/>
      <c r="E45" s="18" t="inlineStr"/>
      <c r="F45" s="18" t="inlineStr"/>
      <c r="G45" s="18" t="inlineStr"/>
      <c r="H45" s="18" t="inlineStr"/>
    </row>
    <row r="46">
      <c r="A46" s="19" t="inlineStr">
        <is>
          <t>3.11.1</t>
        </is>
      </c>
      <c r="B46" s="20" t="inlineStr">
        <is>
          <t>Unit-тестирование Backend
- Jest, покрытие сервисов (User, Trading, Payment, Dispute, Rewards) &gt; 70%</t>
        </is>
      </c>
      <c r="C46" s="19" t="n">
        <v>62</v>
      </c>
      <c r="D46" s="21" t="inlineStr">
        <is>
          <t>DEVELOPMENT</t>
        </is>
      </c>
      <c r="E46" s="22" t="n">
        <v>16</v>
      </c>
      <c r="F46" s="22" t="n">
        <v>24</v>
      </c>
      <c r="G46" s="22">
        <f>E46*C46</f>
        <v/>
      </c>
      <c r="H46" s="22">
        <f>F46*C46</f>
        <v/>
      </c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Фронтенд</t>
        </is>
      </c>
      <c r="C3" s="16" t="n">
        <v>40</v>
      </c>
      <c r="D3" s="16" t="n"/>
      <c r="E3" s="6">
        <f>SUM(E4:E35)</f>
        <v/>
      </c>
      <c r="F3" s="6">
        <f>SUM(F4:F35)</f>
        <v/>
      </c>
      <c r="G3" s="6">
        <f>SUM(G4:G35)</f>
        <v/>
      </c>
      <c r="H3" s="6">
        <f>SUM(H4:H35)</f>
        <v/>
      </c>
    </row>
    <row r="4">
      <c r="A4" s="4" t="inlineStr">
        <is>
          <t>4.1</t>
        </is>
      </c>
      <c r="B4" s="17" t="inlineStr">
        <is>
          <t>Старт проекта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4.1.1</t>
        </is>
      </c>
      <c r="B5" s="20" t="inlineStr">
        <is>
          <t>инициализация проекта
- верстка</t>
        </is>
      </c>
      <c r="C5" s="19" t="inlineStr"/>
      <c r="D5" s="21" t="inlineStr">
        <is>
          <t>DEVELOPMENT</t>
        </is>
      </c>
      <c r="E5" s="22" t="n">
        <v>28</v>
      </c>
      <c r="F5" s="22" t="n">
        <v>36</v>
      </c>
      <c r="G5" s="22">
        <f>E5*$C$3</f>
        <v/>
      </c>
      <c r="H5" s="22">
        <f>F5*$C$3</f>
        <v/>
      </c>
    </row>
    <row r="6">
      <c r="A6" s="4" t="inlineStr">
        <is>
          <t>4.2</t>
        </is>
      </c>
      <c r="B6" s="17" t="inlineStr">
        <is>
          <t>Rewards Module(Frontend): Referral Module</t>
        </is>
      </c>
      <c r="C6" s="18" t="inlineStr"/>
      <c r="D6" s="18" t="inlineStr"/>
      <c r="E6" s="18" t="inlineStr"/>
      <c r="F6" s="18" t="inlineStr"/>
      <c r="G6" s="18" t="inlineStr"/>
      <c r="H6" s="18" t="inlineStr"/>
    </row>
    <row r="7">
      <c r="A7" s="19" t="inlineStr">
        <is>
          <t>4.2.1</t>
        </is>
      </c>
      <c r="B7" s="20" t="inlineStr">
        <is>
          <t>Раздел в ЛК
- правки верстки</t>
        </is>
      </c>
      <c r="C7" s="19" t="inlineStr"/>
      <c r="D7" s="21" t="inlineStr">
        <is>
          <t>DEVELOPMENT</t>
        </is>
      </c>
      <c r="E7" s="22" t="n">
        <v>8</v>
      </c>
      <c r="F7" s="22" t="n">
        <v>8</v>
      </c>
      <c r="G7" s="22">
        <f>E7*$C$3</f>
        <v/>
      </c>
      <c r="H7" s="22">
        <f>F7*$C$3</f>
        <v/>
      </c>
    </row>
    <row r="8">
      <c r="A8" s="19" t="inlineStr">
        <is>
          <t>4.2.2</t>
        </is>
      </c>
      <c r="B8" s="20" t="inlineStr">
        <is>
          <t>Таблица сделок
- Таблица сделок рефералов, пагинация/фильтры</t>
        </is>
      </c>
      <c r="C8" s="19" t="inlineStr"/>
      <c r="D8" s="21" t="inlineStr">
        <is>
          <t>DEVELOPMENT</t>
        </is>
      </c>
      <c r="E8" s="22" t="n">
        <v>8</v>
      </c>
      <c r="F8" s="22" t="n">
        <v>8</v>
      </c>
      <c r="G8" s="22">
        <f>E8*$C$3</f>
        <v/>
      </c>
      <c r="H8" s="22">
        <f>F8*$C$3</f>
        <v/>
      </c>
    </row>
    <row r="9">
      <c r="A9" s="19" t="inlineStr">
        <is>
          <t>4.2.3</t>
        </is>
      </c>
      <c r="B9" s="20" t="inlineStr">
        <is>
          <t>Интеграция API
- Интеграция получения ссылки, интеграция сохранения кошелька, Интеграция статистики</t>
        </is>
      </c>
      <c r="C9" s="19" t="inlineStr"/>
      <c r="D9" s="21" t="inlineStr">
        <is>
          <t>DEVELOPMENT</t>
        </is>
      </c>
      <c r="E9" s="22" t="n">
        <v>8</v>
      </c>
      <c r="F9" s="22" t="n">
        <v>16</v>
      </c>
      <c r="G9" s="22">
        <f>E9*$C$3</f>
        <v/>
      </c>
      <c r="H9" s="22">
        <f>F9*$C$3</f>
        <v/>
      </c>
    </row>
    <row r="10">
      <c r="A10" s="4" t="inlineStr">
        <is>
          <t>4.3</t>
        </is>
      </c>
      <c r="B10" s="17" t="inlineStr">
        <is>
          <t>Frontend: Страницы</t>
        </is>
      </c>
      <c r="C10" s="18" t="inlineStr"/>
      <c r="D10" s="18" t="inlineStr"/>
      <c r="E10" s="18" t="inlineStr"/>
      <c r="F10" s="18" t="inlineStr"/>
      <c r="G10" s="18" t="inlineStr"/>
      <c r="H10" s="18" t="inlineStr"/>
    </row>
    <row r="11">
      <c r="A11" s="19" t="inlineStr">
        <is>
          <t>4.3.1</t>
        </is>
      </c>
      <c r="B11" s="20" t="inlineStr">
        <is>
          <t>Страница Авторизации
- Подключение кошелька, подпись сообщения, JWT</t>
        </is>
      </c>
      <c r="C11" s="19" t="inlineStr"/>
      <c r="D11" s="21" t="inlineStr">
        <is>
          <t>DEVELOPMENT</t>
        </is>
      </c>
      <c r="E11" s="22" t="n">
        <v>8</v>
      </c>
      <c r="F11" s="22" t="n">
        <v>16</v>
      </c>
      <c r="G11" s="22">
        <f>E11*$C$3</f>
        <v/>
      </c>
      <c r="H11" s="22">
        <f>F11*$C$3</f>
        <v/>
      </c>
    </row>
    <row r="12">
      <c r="A12" s="19" t="inlineStr">
        <is>
          <t>4.3.2</t>
        </is>
      </c>
      <c r="B12" s="20" t="inlineStr">
        <is>
          <t>Страница Профиля
- Информация, KYC статус, кошельки, реквизиты, рейтинг, рефералы</t>
        </is>
      </c>
      <c r="C12" s="19" t="inlineStr"/>
      <c r="D12" s="21" t="inlineStr">
        <is>
          <t>DEVELOPMENT</t>
        </is>
      </c>
      <c r="E12" s="22" t="n">
        <v>16</v>
      </c>
      <c r="F12" s="22" t="n">
        <v>24</v>
      </c>
      <c r="G12" s="22">
        <f>E12*$C$3</f>
        <v/>
      </c>
      <c r="H12" s="22">
        <f>F12*$C$3</f>
        <v/>
      </c>
    </row>
    <row r="13">
      <c r="A13" s="19" t="inlineStr">
        <is>
          <t>4.3.3</t>
        </is>
      </c>
      <c r="B13" s="20" t="inlineStr">
        <is>
          <t>Страница Стакана (Order Book)
- Три колонки (Sell/Pit/Buy), фильтры, WebSocket, карточки ордеров</t>
        </is>
      </c>
      <c r="C13" s="19" t="inlineStr"/>
      <c r="D13" s="21" t="inlineStr">
        <is>
          <t>DEVELOPMENT</t>
        </is>
      </c>
      <c r="E13" s="22" t="n">
        <v>32</v>
      </c>
      <c r="F13" s="22" t="n">
        <v>40</v>
      </c>
      <c r="G13" s="22">
        <f>E13*$C$3</f>
        <v/>
      </c>
      <c r="H13" s="22">
        <f>F13*$C$3</f>
        <v/>
      </c>
    </row>
    <row r="14">
      <c r="A14" s="19" t="inlineStr">
        <is>
          <t>4.3.4</t>
        </is>
      </c>
      <c r="B14" s="20" t="inlineStr">
        <is>
          <t>Страница Создания Ордера и управление объявлениями
- Тип (FIXED/PIT), направление, валюта, сумма, цена, банки, реквизиты</t>
        </is>
      </c>
      <c r="C14" s="19" t="inlineStr"/>
      <c r="D14" s="21" t="inlineStr">
        <is>
          <t>DEVELOPMENT</t>
        </is>
      </c>
      <c r="E14" s="22" t="n">
        <v>16</v>
      </c>
      <c r="F14" s="22" t="n">
        <v>24</v>
      </c>
      <c r="G14" s="22">
        <f>E14*$C$3</f>
        <v/>
      </c>
      <c r="H14" s="22">
        <f>F14*$C$3</f>
        <v/>
      </c>
    </row>
    <row r="15">
      <c r="A15" s="19" t="inlineStr">
        <is>
          <t>4.3.5</t>
        </is>
      </c>
      <c r="B15" s="20" t="inlineStr">
        <is>
          <t>Страница Сделки
- Информационная панель, шаги, депозит, подтверждения, чат, диспут</t>
        </is>
      </c>
      <c r="C15" s="19" t="inlineStr"/>
      <c r="D15" s="21" t="inlineStr">
        <is>
          <t>DEVELOPMENT</t>
        </is>
      </c>
      <c r="E15" s="22" t="n">
        <v>56</v>
      </c>
      <c r="F15" s="22" t="n">
        <v>64</v>
      </c>
      <c r="G15" s="22">
        <f>E15*$C$3</f>
        <v/>
      </c>
      <c r="H15" s="22">
        <f>F15*$C$3</f>
        <v/>
      </c>
    </row>
    <row r="16">
      <c r="A16" s="19" t="inlineStr">
        <is>
          <t>4.3.6</t>
        </is>
      </c>
      <c r="B16" s="20" t="inlineStr">
        <is>
          <t>Страница "Яма" (Pit)
- Чат, предложение курса, принятие, фиксация</t>
        </is>
      </c>
      <c r="C16" s="19" t="inlineStr"/>
      <c r="D16" s="21" t="inlineStr">
        <is>
          <t>DEVELOPMENT</t>
        </is>
      </c>
      <c r="E16" s="22" t="n">
        <v>8</v>
      </c>
      <c r="F16" s="22" t="n">
        <v>8</v>
      </c>
      <c r="G16" s="22">
        <f>E16*$C$3</f>
        <v/>
      </c>
      <c r="H16" s="22">
        <f>F16*$C$3</f>
        <v/>
      </c>
    </row>
    <row r="17">
      <c r="A17" s="19" t="inlineStr">
        <is>
          <t>4.3.7</t>
        </is>
      </c>
      <c r="B17" s="20" t="inlineStr">
        <is>
          <t>Страница Истории Сделок
- Список, фильтры, детальная информация</t>
        </is>
      </c>
      <c r="C17" s="19" t="inlineStr"/>
      <c r="D17" s="21" t="inlineStr">
        <is>
          <t>DEVELOPMENT</t>
        </is>
      </c>
      <c r="E17" s="22" t="n">
        <v>4</v>
      </c>
      <c r="F17" s="22" t="n">
        <v>8</v>
      </c>
      <c r="G17" s="22">
        <f>E17*$C$3</f>
        <v/>
      </c>
      <c r="H17" s="22">
        <f>F17*$C$3</f>
        <v/>
      </c>
    </row>
    <row r="18">
      <c r="A18" s="4" t="inlineStr">
        <is>
          <t>4.4</t>
        </is>
      </c>
      <c r="B18" s="17" t="inlineStr">
        <is>
          <t>Frontend: Админ-панель</t>
        </is>
      </c>
      <c r="C18" s="18" t="inlineStr"/>
      <c r="D18" s="18" t="inlineStr"/>
      <c r="E18" s="18" t="inlineStr"/>
      <c r="F18" s="18" t="inlineStr"/>
      <c r="G18" s="18" t="inlineStr"/>
      <c r="H18" s="18" t="inlineStr"/>
    </row>
    <row r="19">
      <c r="A19" s="19" t="inlineStr">
        <is>
          <t>4.4.1</t>
        </is>
      </c>
      <c r="B19" s="20" t="inlineStr">
        <is>
          <t>Layout и Dashboard
- Сайдбар, навигация, статистика, метрики</t>
        </is>
      </c>
      <c r="C19" s="19" t="inlineStr"/>
      <c r="D19" s="21" t="inlineStr">
        <is>
          <t>DEVELOPMENT</t>
        </is>
      </c>
      <c r="E19" s="22" t="n">
        <v>24</v>
      </c>
      <c r="F19" s="22" t="n">
        <v>40</v>
      </c>
      <c r="G19" s="22">
        <f>E19*$C$3</f>
        <v/>
      </c>
      <c r="H19" s="22">
        <f>F19*$C$3</f>
        <v/>
      </c>
    </row>
    <row r="20">
      <c r="A20" s="19" t="inlineStr">
        <is>
          <t>4.4.2</t>
        </is>
      </c>
      <c r="B20" s="20" t="inlineStr">
        <is>
          <t>Управление пользователями
- Список, фильтры, детали профиля, KYC, действия</t>
        </is>
      </c>
      <c r="C20" s="19" t="inlineStr"/>
      <c r="D20" s="21" t="inlineStr">
        <is>
          <t>DEVELOPMENT</t>
        </is>
      </c>
      <c r="E20" s="22" t="n">
        <v>0</v>
      </c>
      <c r="F20" s="22" t="n">
        <v>0</v>
      </c>
      <c r="G20" s="22">
        <f>E20*$C$3</f>
        <v/>
      </c>
      <c r="H20" s="22">
        <f>F20*$C$3</f>
        <v/>
      </c>
    </row>
    <row r="21">
      <c r="A21" s="19" t="inlineStr">
        <is>
          <t>4.4.3</t>
        </is>
      </c>
      <c r="B21" s="20" t="inlineStr">
        <is>
          <t>Управление ордерами и сделками
- Просмотр всех ордеров и сделок</t>
        </is>
      </c>
      <c r="C21" s="19" t="inlineStr"/>
      <c r="D21" s="21" t="inlineStr">
        <is>
          <t>DEVELOPMENT</t>
        </is>
      </c>
      <c r="E21" s="22" t="n">
        <v>0</v>
      </c>
      <c r="F21" s="22" t="n">
        <v>0</v>
      </c>
      <c r="G21" s="22">
        <f>E21*$C$3</f>
        <v/>
      </c>
      <c r="H21" s="22">
        <f>F21*$C$3</f>
        <v/>
      </c>
    </row>
    <row r="22">
      <c r="A22" s="19" t="inlineStr">
        <is>
          <t>4.4.4</t>
        </is>
      </c>
      <c r="B22" s="20" t="inlineStr">
        <is>
          <t>Управление диспутами
- Список, детали, доказательства, форма решения</t>
        </is>
      </c>
      <c r="C22" s="19" t="inlineStr"/>
      <c r="D22" s="21" t="inlineStr">
        <is>
          <t>DEVELOPMENT</t>
        </is>
      </c>
      <c r="E22" s="22" t="n">
        <v>0</v>
      </c>
      <c r="F22" s="22" t="n">
        <v>0</v>
      </c>
      <c r="G22" s="22">
        <f>E22*$C$3</f>
        <v/>
      </c>
      <c r="H22" s="22">
        <f>F22*$C$3</f>
        <v/>
      </c>
    </row>
    <row r="23">
      <c r="A23" s="19" t="inlineStr">
        <is>
          <t>4.4.5</t>
        </is>
      </c>
      <c r="B23" s="20" t="inlineStr">
        <is>
          <t>Аналитика
- Графики, отчеты</t>
        </is>
      </c>
      <c r="C23" s="19" t="inlineStr"/>
      <c r="D23" s="21" t="inlineStr">
        <is>
          <t>DEVELOPMENT</t>
        </is>
      </c>
      <c r="E23" s="22" t="n">
        <v>8</v>
      </c>
      <c r="F23" s="22" t="n">
        <v>8</v>
      </c>
      <c r="G23" s="22">
        <f>E23*$C$3</f>
        <v/>
      </c>
      <c r="H23" s="22">
        <f>F23*$C$3</f>
        <v/>
      </c>
    </row>
    <row r="24">
      <c r="A24" s="4" t="inlineStr">
        <is>
          <t>4.5</t>
        </is>
      </c>
      <c r="B24" s="17" t="inlineStr">
        <is>
          <t>Frontend: Интеграция с API</t>
        </is>
      </c>
      <c r="C24" s="18" t="inlineStr"/>
      <c r="D24" s="18" t="inlineStr"/>
      <c r="E24" s="18" t="inlineStr"/>
      <c r="F24" s="18" t="inlineStr"/>
      <c r="G24" s="18" t="inlineStr"/>
      <c r="H24" s="18" t="inlineStr"/>
    </row>
    <row r="25">
      <c r="A25" s="19" t="inlineStr">
        <is>
          <t>4.5.1</t>
        </is>
      </c>
      <c r="B25" s="20" t="inlineStr">
        <is>
          <t>Настройка API клиента
- Axios/fetch wrapper, JWT, refresh token</t>
        </is>
      </c>
      <c r="C25" s="19" t="inlineStr"/>
      <c r="D25" s="21" t="inlineStr">
        <is>
          <t>DEVELOPMENT</t>
        </is>
      </c>
      <c r="E25" s="22" t="n">
        <v>0</v>
      </c>
      <c r="F25" s="22" t="n">
        <v>0</v>
      </c>
      <c r="G25" s="22">
        <f>E25*$C$3</f>
        <v/>
      </c>
      <c r="H25" s="22">
        <f>F25*$C$3</f>
        <v/>
      </c>
    </row>
    <row r="26">
      <c r="A26" s="19" t="inlineStr">
        <is>
          <t>4.5.2</t>
        </is>
      </c>
      <c r="B26" s="20" t="inlineStr">
        <is>
          <t>Интеграция User API
- Регистрация, профиль, кошельки</t>
        </is>
      </c>
      <c r="C26" s="19" t="inlineStr"/>
      <c r="D26" s="21" t="inlineStr">
        <is>
          <t>DEVELOPMENT</t>
        </is>
      </c>
      <c r="E26" s="22" t="n">
        <v>0</v>
      </c>
      <c r="F26" s="22" t="n">
        <v>0</v>
      </c>
      <c r="G26" s="22">
        <f>E26*$C$3</f>
        <v/>
      </c>
      <c r="H26" s="22">
        <f>F26*$C$3</f>
        <v/>
      </c>
    </row>
    <row r="27">
      <c r="A27" s="19" t="inlineStr">
        <is>
          <t>4.5.3</t>
        </is>
      </c>
      <c r="B27" s="20" t="inlineStr">
        <is>
          <t>Интеграция Order API
- CRUD ордеров, стакан</t>
        </is>
      </c>
      <c r="C27" s="19" t="inlineStr"/>
      <c r="D27" s="21" t="inlineStr">
        <is>
          <t>DEVELOPMENT</t>
        </is>
      </c>
      <c r="E27" s="22" t="n">
        <v>0</v>
      </c>
      <c r="F27" s="22" t="n">
        <v>0</v>
      </c>
      <c r="G27" s="22">
        <f>E27*$C$3</f>
        <v/>
      </c>
      <c r="H27" s="22">
        <f>F27*$C$3</f>
        <v/>
      </c>
    </row>
    <row r="28">
      <c r="A28" s="19" t="inlineStr">
        <is>
          <t>4.5.4</t>
        </is>
      </c>
      <c r="B28" s="20" t="inlineStr">
        <is>
          <t>Интеграция Deal API
- Жизненный цикл сделки</t>
        </is>
      </c>
      <c r="C28" s="19" t="inlineStr"/>
      <c r="D28" s="21" t="inlineStr">
        <is>
          <t>DEVELOPMENT</t>
        </is>
      </c>
      <c r="E28" s="22" t="n">
        <v>0</v>
      </c>
      <c r="F28" s="22" t="n">
        <v>0</v>
      </c>
      <c r="G28" s="22">
        <f>E28*$C$3</f>
        <v/>
      </c>
      <c r="H28" s="22">
        <f>F28*$C$3</f>
        <v/>
      </c>
    </row>
    <row r="29">
      <c r="A29" s="19" t="inlineStr">
        <is>
          <t>4.5.5</t>
        </is>
      </c>
      <c r="B29" s="20" t="inlineStr">
        <is>
          <t>Интеграция Payment API
- Реквизиты</t>
        </is>
      </c>
      <c r="C29" s="19" t="inlineStr"/>
      <c r="D29" s="21" t="inlineStr">
        <is>
          <t>DEVELOPMENT</t>
        </is>
      </c>
      <c r="E29" s="22" t="n">
        <v>0</v>
      </c>
      <c r="F29" s="22" t="n">
        <v>0</v>
      </c>
      <c r="G29" s="22">
        <f>E29*$C$3</f>
        <v/>
      </c>
      <c r="H29" s="22">
        <f>F29*$C$3</f>
        <v/>
      </c>
    </row>
    <row r="30">
      <c r="A30" s="19" t="inlineStr">
        <is>
          <t>4.5.6</t>
        </is>
      </c>
      <c r="B30" s="20" t="inlineStr">
        <is>
          <t>Интеграция Dispute API
- Диспуты</t>
        </is>
      </c>
      <c r="C30" s="19" t="inlineStr"/>
      <c r="D30" s="21" t="inlineStr">
        <is>
          <t>DEVELOPMENT</t>
        </is>
      </c>
      <c r="E30" s="22" t="n">
        <v>0</v>
      </c>
      <c r="F30" s="22" t="n">
        <v>0</v>
      </c>
      <c r="G30" s="22">
        <f>E30*$C$3</f>
        <v/>
      </c>
      <c r="H30" s="22">
        <f>F30*$C$3</f>
        <v/>
      </c>
    </row>
    <row r="31">
      <c r="A31" s="19" t="inlineStr">
        <is>
          <t>4.5.7</t>
        </is>
      </c>
      <c r="B31" s="20" t="inlineStr">
        <is>
          <t>Интеграция Referral API
- Стакан, уведомления, обработка ошибок</t>
        </is>
      </c>
      <c r="C31" s="19" t="inlineStr"/>
      <c r="D31" s="21" t="inlineStr">
        <is>
          <t>DEVELOPMENT</t>
        </is>
      </c>
      <c r="E31" s="22" t="n">
        <v>0</v>
      </c>
      <c r="F31" s="22" t="n">
        <v>0</v>
      </c>
      <c r="G31" s="22">
        <f>E31*$C$3</f>
        <v/>
      </c>
      <c r="H31" s="22">
        <f>F31*$C$3</f>
        <v/>
      </c>
    </row>
    <row r="32">
      <c r="A32" s="19" t="inlineStr">
        <is>
          <t>4.5.8</t>
        </is>
      </c>
      <c r="B32" s="20" t="inlineStr">
        <is>
          <t>Интеграция WebSocket
- Стакан, уведомления, обработка ошибок</t>
        </is>
      </c>
      <c r="C32" s="19" t="inlineStr"/>
      <c r="D32" s="21" t="inlineStr">
        <is>
          <t>DEVELOPMENT</t>
        </is>
      </c>
      <c r="E32" s="22" t="n">
        <v>8</v>
      </c>
      <c r="F32" s="22" t="n">
        <v>16</v>
      </c>
      <c r="G32" s="22">
        <f>E32*$C$3</f>
        <v/>
      </c>
      <c r="H32" s="22">
        <f>F32*$C$3</f>
        <v/>
      </c>
    </row>
    <row r="33">
      <c r="A33" s="4" t="inlineStr">
        <is>
          <t>4.6</t>
        </is>
      </c>
      <c r="B33" s="17" t="inlineStr">
        <is>
          <t>Интеграции</t>
        </is>
      </c>
      <c r="C33" s="18" t="inlineStr"/>
      <c r="D33" s="18" t="inlineStr"/>
      <c r="E33" s="18" t="inlineStr"/>
      <c r="F33" s="18" t="inlineStr"/>
      <c r="G33" s="18" t="inlineStr"/>
      <c r="H33" s="18" t="inlineStr"/>
    </row>
    <row r="34">
      <c r="A34" s="19" t="inlineStr">
        <is>
          <t>4.6.1</t>
        </is>
      </c>
      <c r="B34" s="20" t="inlineStr">
        <is>
          <t>KYC Интеграция
- Изучение документации КУС</t>
        </is>
      </c>
      <c r="C34" s="19" t="inlineStr"/>
      <c r="D34" s="21" t="inlineStr">
        <is>
          <t>DEVELOPMENT</t>
        </is>
      </c>
      <c r="E34" s="22" t="n">
        <v>8</v>
      </c>
      <c r="F34" s="22" t="n">
        <v>8</v>
      </c>
      <c r="G34" s="22">
        <f>E34*$C$3</f>
        <v/>
      </c>
      <c r="H34" s="22">
        <f>F34*$C$3</f>
        <v/>
      </c>
    </row>
    <row r="35">
      <c r="A35" s="19" t="inlineStr">
        <is>
          <t>4.6.2</t>
        </is>
      </c>
      <c r="B35" s="20" t="inlineStr">
        <is>
          <t>Чат Интеграция
- Изучение документации чата</t>
        </is>
      </c>
      <c r="C35" s="19" t="inlineStr"/>
      <c r="D35" s="21" t="inlineStr">
        <is>
          <t>DEVELOPMENT</t>
        </is>
      </c>
      <c r="E35" s="22" t="n">
        <v>8</v>
      </c>
      <c r="F35" s="22" t="n">
        <v>8</v>
      </c>
      <c r="G35" s="22">
        <f>E35*$C$3</f>
        <v/>
      </c>
      <c r="H35" s="22">
        <f>F35*$C$3</f>
        <v/>
      </c>
    </row>
  </sheetData>
  <mergeCells count="1">
    <mergeCell ref="B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QA</t>
        </is>
      </c>
      <c r="C3" s="16" t="n">
        <v>30</v>
      </c>
      <c r="D3" s="16" t="n"/>
      <c r="E3" s="6">
        <f>SUM(E4:E7)</f>
        <v/>
      </c>
      <c r="F3" s="6">
        <f>SUM(F4:F7)</f>
        <v/>
      </c>
      <c r="G3" s="6">
        <f>SUM(G4:G7)</f>
        <v/>
      </c>
      <c r="H3" s="6">
        <f>SUM(H4:H7)</f>
        <v/>
      </c>
    </row>
    <row r="4">
      <c r="A4" s="4" t="inlineStr">
        <is>
          <t>5.1</t>
        </is>
      </c>
      <c r="B4" s="17" t="inlineStr">
        <is>
          <t>Интеграции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5.1.1</t>
        </is>
      </c>
      <c r="B5" s="20" t="inlineStr">
        <is>
          <t>Интеграционное тестирование
- E2E: регистрация, создание ордера, сделка happy path, отмена, диспут, Pit на testnet</t>
        </is>
      </c>
      <c r="C5" s="19" t="inlineStr"/>
      <c r="D5" s="21" t="inlineStr">
        <is>
          <t>DEVELOPMENT</t>
        </is>
      </c>
      <c r="E5" s="22" t="n">
        <v>120</v>
      </c>
      <c r="F5" s="22" t="n">
        <v>120</v>
      </c>
      <c r="G5" s="22">
        <f>E5*$C$3</f>
        <v/>
      </c>
      <c r="H5" s="22">
        <f>F5*$C$3</f>
        <v/>
      </c>
    </row>
    <row r="6">
      <c r="A6" s="19" t="inlineStr">
        <is>
          <t>5.1.2</t>
        </is>
      </c>
      <c r="B6" s="20" t="inlineStr">
        <is>
          <t>Тестирование безопасности
- Авторизация, валидация, rate limiting, CORS, шифрование, пентест (опционально)</t>
        </is>
      </c>
      <c r="C6" s="19" t="inlineStr"/>
      <c r="D6" s="21" t="inlineStr">
        <is>
          <t>DEVELOPMENT</t>
        </is>
      </c>
      <c r="E6" s="22" t="n">
        <v>0</v>
      </c>
      <c r="F6" s="22" t="n">
        <v>0</v>
      </c>
      <c r="G6" s="22">
        <f>E6*$C$3</f>
        <v/>
      </c>
      <c r="H6" s="22">
        <f>F6*$C$3</f>
        <v/>
      </c>
    </row>
    <row r="7">
      <c r="A7" s="19" t="inlineStr">
        <is>
          <t>5.1.3</t>
        </is>
      </c>
      <c r="B7" s="20" t="inlineStr">
        <is>
          <t>Багфикс и регрессия
- Сбор, приоритизация, исправление P0/P1, регрессионное тестирование</t>
        </is>
      </c>
      <c r="C7" s="19" t="inlineStr"/>
      <c r="D7" s="21" t="inlineStr">
        <is>
          <t>DEVELOPMENT</t>
        </is>
      </c>
      <c r="E7" s="22" t="n">
        <v>0</v>
      </c>
      <c r="F7" s="22" t="n">
        <v>0</v>
      </c>
      <c r="G7" s="22">
        <f>E7*$C$3</f>
        <v/>
      </c>
      <c r="H7" s="22">
        <f>F7*$C$3</f>
        <v/>
      </c>
    </row>
  </sheetData>
  <mergeCells count="1">
    <mergeCell ref="B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Аналитик</t>
        </is>
      </c>
      <c r="C3" s="16" t="n">
        <v>40</v>
      </c>
      <c r="D3" s="16" t="n"/>
      <c r="E3" s="6">
        <f>SUM(E4:E5)</f>
        <v/>
      </c>
      <c r="F3" s="6">
        <f>SUM(F4:F5)</f>
        <v/>
      </c>
      <c r="G3" s="6">
        <f>SUM(G4:G5)</f>
        <v/>
      </c>
      <c r="H3" s="6">
        <f>SUM(H4:H5)</f>
        <v/>
      </c>
    </row>
    <row r="4">
      <c r="A4" s="4" t="inlineStr">
        <is>
          <t>6.1</t>
        </is>
      </c>
      <c r="B4" s="17" t="inlineStr">
        <is>
          <t>Интеграции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6.1.1</t>
        </is>
      </c>
      <c r="B5" s="20" t="inlineStr">
        <is>
          <t>Сопровождение разработки, доработки UX/UI</t>
        </is>
      </c>
      <c r="C5" s="19" t="inlineStr"/>
      <c r="D5" s="21" t="inlineStr">
        <is>
          <t>DEVELOPMENT</t>
        </is>
      </c>
      <c r="E5" s="22" t="n">
        <v>120</v>
      </c>
      <c r="F5" s="22" t="n">
        <v>120</v>
      </c>
      <c r="G5" s="22">
        <f>E5*$C$3</f>
        <v/>
      </c>
      <c r="H5" s="22">
        <f>F5*$C$3</f>
        <v/>
      </c>
    </row>
  </sheetData>
  <mergeCells count="1">
    <mergeCell ref="B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Менеджмент</t>
        </is>
      </c>
      <c r="C3" s="16" t="n">
        <v>30</v>
      </c>
      <c r="D3" s="16" t="n"/>
      <c r="E3" s="6">
        <f>SUM(E4:E8)</f>
        <v/>
      </c>
      <c r="F3" s="6">
        <f>SUM(F4:F8)</f>
        <v/>
      </c>
      <c r="G3" s="6">
        <f>SUM(G4:G8)</f>
        <v/>
      </c>
      <c r="H3" s="6">
        <f>SUM(H4:H8)</f>
        <v/>
      </c>
    </row>
    <row r="4">
      <c r="A4" s="19" t="inlineStr">
        <is>
          <t>7.1</t>
        </is>
      </c>
      <c r="B4" s="20" t="inlineStr">
        <is>
          <t>Планирование и проведение Kick-off
- Внутреннее планирование, kick-off встреча с клиентом</t>
        </is>
      </c>
      <c r="C4" s="19" t="inlineStr"/>
      <c r="D4" s="21" t="inlineStr">
        <is>
          <t>SPREAD</t>
        </is>
      </c>
      <c r="E4" s="22" t="n">
        <v>8</v>
      </c>
      <c r="F4" s="22" t="n">
        <v>16</v>
      </c>
      <c r="G4" s="22">
        <f>E4*$C$3</f>
        <v/>
      </c>
      <c r="H4" s="22">
        <f>F4*$C$3</f>
        <v/>
      </c>
    </row>
    <row r="5">
      <c r="A5" s="19" t="inlineStr">
        <is>
          <t>7.2</t>
        </is>
      </c>
      <c r="B5" s="20" t="inlineStr">
        <is>
          <t>Корректировка задач, распределение и контроль
- Актуализация задач, назначение исполнителей, ежедневный контроль</t>
        </is>
      </c>
      <c r="C5" s="19" t="inlineStr"/>
      <c r="D5" s="21" t="inlineStr">
        <is>
          <t>SPREAD</t>
        </is>
      </c>
      <c r="E5" s="22" t="n">
        <v>56</v>
      </c>
      <c r="F5" s="22" t="n">
        <v>64</v>
      </c>
      <c r="G5" s="22">
        <f>E5*$C$3</f>
        <v/>
      </c>
      <c r="H5" s="22">
        <f>F5*$C$3</f>
        <v/>
      </c>
    </row>
    <row r="6">
      <c r="A6" s="19" t="inlineStr">
        <is>
          <t>7.3</t>
        </is>
      </c>
      <c r="B6" s="20" t="inlineStr">
        <is>
          <t>Управление спринтом
- Планирование спринта, стендапы, демо, ретроспектива</t>
        </is>
      </c>
      <c r="C6" s="19" t="inlineStr"/>
      <c r="D6" s="21" t="inlineStr">
        <is>
          <t>SPREAD</t>
        </is>
      </c>
      <c r="E6" s="22" t="n">
        <v>40</v>
      </c>
      <c r="F6" s="22" t="n">
        <v>40</v>
      </c>
      <c r="G6" s="22">
        <f>E6*$C$3</f>
        <v/>
      </c>
      <c r="H6" s="22">
        <f>F6*$C$3</f>
        <v/>
      </c>
    </row>
    <row r="7">
      <c r="A7" s="19" t="inlineStr">
        <is>
          <t>7.4</t>
        </is>
      </c>
      <c r="B7" s="20" t="inlineStr">
        <is>
          <t>Подготовка и обмен отчетами
- Формирование отчетов для клиентов, обсуждение</t>
        </is>
      </c>
      <c r="C7" s="19" t="inlineStr"/>
      <c r="D7" s="21" t="inlineStr">
        <is>
          <t>SPREAD</t>
        </is>
      </c>
      <c r="E7" s="22" t="n">
        <v>16</v>
      </c>
      <c r="F7" s="22" t="n">
        <v>16</v>
      </c>
      <c r="G7" s="22">
        <f>E7*$C$3</f>
        <v/>
      </c>
      <c r="H7" s="22">
        <f>F7*$C$3</f>
        <v/>
      </c>
    </row>
    <row r="8">
      <c r="A8" s="19" t="inlineStr">
        <is>
          <t>7.5</t>
        </is>
      </c>
      <c r="B8" s="20" t="inlineStr">
        <is>
          <t>Общение с клиентом
- Звонки, ежедневное общение по чатам</t>
        </is>
      </c>
      <c r="C8" s="19" t="inlineStr"/>
      <c r="D8" s="21" t="inlineStr">
        <is>
          <t>SPREAD</t>
        </is>
      </c>
      <c r="E8" s="22" t="n">
        <v>16</v>
      </c>
      <c r="F8" s="22" t="n">
        <v>16</v>
      </c>
      <c r="G8" s="22">
        <f>E8*$C$3</f>
        <v/>
      </c>
      <c r="H8" s="22">
        <f>F8*$C$3</f>
        <v/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2026-04-01T09:44:32Z</dcterms:created>
  <dcterms:modified xmlns:dcterms="http://purl.org/dc/terms/" xmlns:xsi="http://www.w3.org/2001/XMLSchema-instance" xsi:type="dcterms:W3CDTF">2026-04-01T09:44:35Z</dcterms:modified>
</cp:coreProperties>
</file>