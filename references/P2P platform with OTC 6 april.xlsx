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ля клиента" sheetId="1" r:id="rId5"/>
    <sheet state="visible" name="Sales (Итоги оценки)" sheetId="2" r:id="rId6"/>
    <sheet state="visible" name="Оценка" sheetId="3" r:id="rId7"/>
    <sheet state="visible" name="PM (Расчеты)" sheetId="4" r:id="rId8"/>
    <sheet state="visible" name="Для Битрикса " sheetId="5" r:id="rId9"/>
    <sheet state="hidden" name="Чек лист Задач" sheetId="6" r:id="rId10"/>
  </sheets>
  <definedNames>
    <definedName hidden="1" localSheetId="2" name="_xlnm._FilterDatabase">'Оценка'!$B$11:$B$1002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9">
      <text>
        <t xml:space="preserve">role_frontend</t>
      </text>
    </comment>
    <comment authorId="0" ref="B23">
      <text>
        <t xml:space="preserve">role_ux_ui_________</t>
      </text>
    </comment>
    <comment authorId="0" ref="B27">
      <text>
        <t xml:space="preserve">role_backend</t>
      </text>
    </comment>
    <comment authorId="0" ref="B31">
      <text>
        <t xml:space="preserve">role_smart_contract</t>
      </text>
    </comment>
    <comment authorId="0" ref="B35">
      <text>
        <t xml:space="preserve">role_qa</t>
      </text>
    </comment>
    <comment authorId="0" ref="B39">
      <text>
        <t xml:space="preserve">role_______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Прописывается в ручную, в зависимости от наличия дизайна проекта и очередности этапов разработки.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1">
      <text>
        <t xml:space="preserve">Цифры в столбце обозначают, какому специалисту назначены эти задачи.
Например, на проекте работают 1 дизайнер, 2 фронтенд-разработчика и 1 бэкенд-разработчик.
В таком случае распределение будет следующим:
1 — дизайнер,
2 — фронтенд-разработчик №1,
3 — фронтенд-разработчик №2,
4 — бэкенд-разработчик.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5">
      <text>
        <t xml:space="preserve">5% — проект небольшой, требования понятны и стабильны, риски низкие;
15% — средний риск; проект большой, требования и скоуп не до конца определены, есть сильные взаимозависимости между задачами, присутствуют риски, такие как использование новых технологий, наличие унаследованных артефактов, зависимость от внешних компонент или подрядчиков.
30% — риск высокий. Большое количество интеграция, легаси, сторонии API, на момент оценки не готовы части проекта (дизайн, тз, бекнд, фронтенд. От других команд) "</t>
      </text>
    </comment>
    <comment authorId="0" ref="C26">
      <text>
        <t xml:space="preserve">Время на управление инфраструктурой</t>
      </text>
    </comment>
  </commentList>
</comments>
</file>

<file path=xl/sharedStrings.xml><?xml version="1.0" encoding="utf-8"?>
<sst xmlns="http://schemas.openxmlformats.org/spreadsheetml/2006/main" count="683" uniqueCount="305">
  <si>
    <t xml:space="preserve">Оценка проекта </t>
  </si>
  <si>
    <t>В стоимость входит тестирование, работа менеджера</t>
  </si>
  <si>
    <t>В течение 3 месяцев мы бесплатно устраняем технические ошибки (техподдержка)</t>
  </si>
  <si>
    <t>Актуально на: 06.04.2026</t>
  </si>
  <si>
    <t>Команда проекта,
человек</t>
  </si>
  <si>
    <t>Длительность проекта,
часы</t>
  </si>
  <si>
    <t>Стоимость, $</t>
  </si>
  <si>
    <t>Специалисты</t>
  </si>
  <si>
    <t>Занятость на проекте, недели</t>
  </si>
  <si>
    <t>Занятость на проекте, часы</t>
  </si>
  <si>
    <t>Smart contract</t>
  </si>
  <si>
    <t>Backend</t>
  </si>
  <si>
    <t>Frontend</t>
  </si>
  <si>
    <t>Project manager</t>
  </si>
  <si>
    <t>DevOps</t>
  </si>
  <si>
    <t>Аналитик</t>
  </si>
  <si>
    <t>QA</t>
  </si>
  <si>
    <t>Вид работ</t>
  </si>
  <si>
    <t>Задача</t>
  </si>
  <si>
    <t>Комментарий</t>
  </si>
  <si>
    <t>Длительность, часы</t>
  </si>
  <si>
    <t>Создание и настройка репозиториев</t>
  </si>
  <si>
    <t>Backend, Frontend, Contracts — структура, README, права доступа</t>
  </si>
  <si>
    <t>Настройка CI/CD pipelines</t>
  </si>
  <si>
    <t>Сборка, линтинг, тесты, деплой для всех репозиториев</t>
  </si>
  <si>
    <t>Настройка PostgreSQL</t>
  </si>
  <si>
    <t>Установка, конфигурация, резервное копирование</t>
  </si>
  <si>
    <t>Настройка Redis</t>
  </si>
  <si>
    <t>Кэш, очереди, сессии</t>
  </si>
  <si>
    <t>Настройка HashiCorp Vault</t>
  </si>
  <si>
    <t>Хранение секретов, ключей шифрования</t>
  </si>
  <si>
    <t>Настройка Nginx и доменов</t>
  </si>
  <si>
    <t>Reverse proxy, SSL, rate limiting, DNS</t>
  </si>
  <si>
    <t>Настройка мониторинга и алертинга</t>
  </si>
  <si>
    <t>Prometheus, Grafana, PagerDuty/Slack интеграция</t>
  </si>
  <si>
    <t>Настройка централизованного логирования</t>
  </si>
  <si>
    <t>Разработка EscrowFactory</t>
  </si>
  <si>
    <t>Создание прокси-контрактов, события, access control</t>
  </si>
  <si>
    <t>Разработка Escrow Implementation</t>
  </si>
  <si>
    <t>Логика депозита, релиза, refund, referral link, resolveDispute, интеграция USDT</t>
  </si>
  <si>
    <t>Написание unit и integration тестов</t>
  </si>
  <si>
    <t>Покрытие всех функций, happy path, edge cases, gas optimization</t>
  </si>
  <si>
    <t>Деплой в testnet (Sepolia)</t>
  </si>
  <si>
    <t>Factory + Implementation, верификация в Etherscan</t>
  </si>
  <si>
    <t>Деплой в mainnet</t>
  </si>
  <si>
    <t>Factory + Implementation, настройка мультисиг/Fireblocks</t>
  </si>
  <si>
    <t>Аудит безопасности</t>
  </si>
  <si>
    <t>Внешний аудит, исправление найденных проблем</t>
  </si>
  <si>
    <t>Настройка инфраструктуры</t>
  </si>
  <si>
    <t>TypeORM (PostgreSQL), Redis, Bull Queue, валидация</t>
  </si>
  <si>
    <t>Разработка Shared Layer</t>
  </si>
  <si>
    <t>Database Service, Cache Service, Queue Service, Auth Service</t>
  </si>
  <si>
    <t>Разработка Blockchain Service</t>
  </si>
  <si>
    <t>Ethers.js интеграция, RPC, индексатор событий</t>
  </si>
  <si>
    <t>Разработка Encryption Service</t>
  </si>
  <si>
    <t>AES-256 для шифрования реквизитов</t>
  </si>
  <si>
    <t>Создание сущностей</t>
  </si>
  <si>
    <t>User (с полями реферальной программы: referrer_id, referrer_wallet, referral_code), Wallet, KycStatus, UserLevel — таблицы, связи, индексы</t>
  </si>
  <si>
    <t>Разработка API</t>
  </si>
  <si>
    <t>Регистрация, авторизация (Web3 + JWT), профиль, привязка кошелька</t>
  </si>
  <si>
    <t>Реализация уровней доступа</t>
  </si>
  <si>
    <t>Проверка прав, лимиты</t>
  </si>
  <si>
    <t>Order, Deal, EscrowContract — таблицы, связи</t>
  </si>
  <si>
    <t>Разработка Order API</t>
  </si>
  <si>
    <t>CRUD ордеров, стакан, фильтрация, WebSocket для real-time</t>
  </si>
  <si>
    <t>Разработка Deal API</t>
  </si>
  <si>
    <t>Инициация, деплой эскроу, обработка депозита, подтверждения</t>
  </si>
  <si>
    <t>Реализация жизненного цикла сделки</t>
  </si>
  <si>
    <t>Таймауты, авто-отмена, релиз, комиссия</t>
  </si>
  <si>
    <t>Реализация режима "Яма"</t>
  </si>
  <si>
    <t>Переговорные сделки, фиксация курса</t>
  </si>
  <si>
    <t>Backend (Monolith): Payment Module</t>
  </si>
  <si>
    <t>Создание сущности PaymentDetails</t>
  </si>
  <si>
    <t>Таблица, шифрование</t>
  </si>
  <si>
    <t>CRUD реквизитов, передача в сделке после депозита</t>
  </si>
  <si>
    <t>Backend (Monolith): Dispute Module</t>
  </si>
  <si>
    <t>Dispute — таблицы, статусы</t>
  </si>
  <si>
    <t>Создание диспута, добавление доказательств, продление блокировки</t>
  </si>
  <si>
    <t>Разработка Admin API</t>
  </si>
  <si>
    <t>Список диспутов, просмотр, принятие решения, вызов resolveDispute</t>
  </si>
  <si>
    <t>Backend (Monolith): rating Module</t>
  </si>
  <si>
    <t>Rating, RatingHistory</t>
  </si>
  <si>
    <t>Разработка Rating Service</t>
  </si>
  <si>
    <t>Расчет рейтинга (сделки, отмены, диспуты, объем)</t>
  </si>
  <si>
    <t>Backend (Monolith): Analytics Module</t>
  </si>
  <si>
    <t>Подключение стороннего сервиса аналитики</t>
  </si>
  <si>
    <t>Redash или др</t>
  </si>
  <si>
    <t>API генерации реферальной ссылки</t>
  </si>
  <si>
    <t>Уникальный код, URL</t>
  </si>
  <si>
    <t>API установки кошелька комиссий</t>
  </si>
  <si>
    <t>Валидация адреса</t>
  </si>
  <si>
    <t>Привязка при регистрации</t>
  </si>
  <si>
    <t>Парсинг ?ref=, сохранение referrer_id/wallet</t>
  </si>
  <si>
    <t>Интеграция со сделками</t>
  </si>
  <si>
    <t>Получение referrer_wallet при создании сделки, передача в контракт</t>
  </si>
  <si>
    <t>Создание сущности ReferralReward</t>
  </si>
  <si>
    <t>Хранение истории выплат</t>
  </si>
  <si>
    <t>API реферальной статистики</t>
  </si>
  <si>
    <t>Кол-во рефералов, сделок, сумма выплат, список</t>
  </si>
  <si>
    <t>Обработка событий выплат</t>
  </si>
  <si>
    <t>Обновление статистики при выплате из контракта</t>
  </si>
  <si>
    <t>Создание миграций</t>
  </si>
  <si>
    <t>Все таблицы с учетом реферальной программы: users (с полями referrer_id, referrer_wallet, referral_code), wallets, orders, deals, disputes, rating, referral_rewards и др.</t>
  </si>
  <si>
    <t>Настройка Swagger/OpenAPI</t>
  </si>
  <si>
    <t>Автогенерация документации для всех endpoints</t>
  </si>
  <si>
    <t>KYC Интеграция</t>
  </si>
  <si>
    <t>Регистрация в провайдере (SumSub/Onfido), вебхуки, SDK на frontend, обработка статусов</t>
  </si>
  <si>
    <t>Чат Интеграция</t>
  </si>
  <si>
    <t>Регистрация в провайдере (Stream/PubNub), создание каналов, добавление участников, история</t>
  </si>
  <si>
    <t>Unit-тестирование Backend</t>
  </si>
  <si>
    <t>Jest, покрытие сервисов (User, Trading, Payment, Dispute, Rewards) &gt; 70%</t>
  </si>
  <si>
    <t>Сообщение в телеграм канал о появлении OTC сделок</t>
  </si>
  <si>
    <t>появилось новая сделка в стакане</t>
  </si>
  <si>
    <t xml:space="preserve">уведомление о статусе сделки в телеграм бота </t>
  </si>
  <si>
    <t>при получении сообщений, при других сменах статуса, в бота куда подключится тейкер/мейкер придут сообщения. подключение опционально. авторизация через телегу тоже</t>
  </si>
  <si>
    <t>инициализация проекта</t>
  </si>
  <si>
    <t>верстка</t>
  </si>
  <si>
    <t>Rewards Module(Frontend): Referral Module</t>
  </si>
  <si>
    <t>Раздел в ЛК</t>
  </si>
  <si>
    <t>правки верстки</t>
  </si>
  <si>
    <t>Таблица сделок</t>
  </si>
  <si>
    <t>Таблица сделок рефералов, пагинация/фильтры</t>
  </si>
  <si>
    <t>Интеграция API</t>
  </si>
  <si>
    <t>Интеграция получения ссылки, интеграция сохранения кошелька, Интеграция статистики</t>
  </si>
  <si>
    <t>Frontend: Страницы</t>
  </si>
  <si>
    <t>Страница Авторизации</t>
  </si>
  <si>
    <t>Подключение кошелька, подпись сообщения, JWT</t>
  </si>
  <si>
    <t>Страница Профиля</t>
  </si>
  <si>
    <t>Информация, KYC статус, кошельки, реквизиты, рейтинг, рефералы</t>
  </si>
  <si>
    <t>Страница Стакана (Order Book)</t>
  </si>
  <si>
    <t>Три колонки (Sell/Pit/Buy), фильтры, WebSocket, карточки ордеров</t>
  </si>
  <si>
    <t>Страница Создания Ордера и управление объявлениями</t>
  </si>
  <si>
    <t>Тип (FIXED/PIT), направление, валюта, сумма, цена, банки, реквизиты</t>
  </si>
  <si>
    <t>Страница Сделки</t>
  </si>
  <si>
    <t>Информационная панель, шаги, депозит, подтверждения, чат, диспут</t>
  </si>
  <si>
    <t>Страница "Яма" (Pit)</t>
  </si>
  <si>
    <t>Чат, предложение курса, принятие, фиксация</t>
  </si>
  <si>
    <t>Страница Истории Сделок</t>
  </si>
  <si>
    <t>Список, фильтры, детальная информация</t>
  </si>
  <si>
    <t>Frontend: Админ-панель</t>
  </si>
  <si>
    <t>Layout и Dashboard</t>
  </si>
  <si>
    <t>Сайдбар, навигация, статистика, метрики</t>
  </si>
  <si>
    <t>Управление пользователями</t>
  </si>
  <si>
    <t>Список, фильтры, детали профиля, KYC, действия</t>
  </si>
  <si>
    <t>Управление ордерами и сделками</t>
  </si>
  <si>
    <t>Просмотр всех ордеров и сделок</t>
  </si>
  <si>
    <t>Управление диспутами</t>
  </si>
  <si>
    <t>Список, детали, доказательства, форма решения</t>
  </si>
  <si>
    <t>Frontend: Интеграция с API</t>
  </si>
  <si>
    <t>Интеграция WebSocket</t>
  </si>
  <si>
    <t>Стакан, уведомления, обработка ошибок</t>
  </si>
  <si>
    <t>Изучение документации КУС</t>
  </si>
  <si>
    <t>Изучение документации чата</t>
  </si>
  <si>
    <t>Адаптив</t>
  </si>
  <si>
    <t>Доработка интерфейсов под мобильные устройства</t>
  </si>
  <si>
    <t>Интеграционное тестирование</t>
  </si>
  <si>
    <t>E2E: регистрация, создание ордера, сделка happy path, отмена, диспут, Pit на testnet</t>
  </si>
  <si>
    <t>Тестирование безопасности</t>
  </si>
  <si>
    <t>Авторизация, валидация, rate limiting, CORS, шифрование, пентест (опционально)</t>
  </si>
  <si>
    <t>Багфикс и регрессия</t>
  </si>
  <si>
    <t>Сбор, приоритизация, исправление P0/P1</t>
  </si>
  <si>
    <t>UX/UI дизайнер</t>
  </si>
  <si>
    <t>Сопровождение разработки, доработки UX/UI</t>
  </si>
  <si>
    <t>⭠ Инструкция к заполнению (нажми "+")</t>
  </si>
  <si>
    <t xml:space="preserve">Sales
1. Заполняется Sales менеджером, после оценки проекта и настройки коэфицентов (делает PM).
2. Заполняются только ячейки закрашеные зеленым цветом. 
3. Вноситься % реферальный по проекту, если такой есть. (% sales manager заложен в маржу проекта)
4. Вноситься маржа по каждому разработчику в столбце L. 
</t>
  </si>
  <si>
    <t xml:space="preserve">PM
1. Заполняет продолжительность проекта в ячейке С21 в соответсвии с предпологаемой продолжительностью работ на проекте. (Сколько проект будет длиться в фактических неделях)
2. Заполняет название проекта, ячейка С6. И прикладывает ссылки на маеты и тз (ячейки С7 и С8). 
3. Схематично, на таймлайне, отрисовывает ход проекта в недельном выражении. Какие работы удит паралельно или последовательно. Учитывая прзаднечные, выходные, и отпуска. </t>
  </si>
  <si>
    <t>Проект:</t>
  </si>
  <si>
    <t>P2P платформа</t>
  </si>
  <si>
    <t>Проектная команда/тип работ:</t>
  </si>
  <si>
    <t>Продолжительность работ в неделях</t>
  </si>
  <si>
    <t>Продолжительность работ в днях</t>
  </si>
  <si>
    <t>Продолжительность работ в часах</t>
  </si>
  <si>
    <t>Себестоимость</t>
  </si>
  <si>
    <t xml:space="preserve">Стоимость работ </t>
  </si>
  <si>
    <t xml:space="preserve">Ставка на клиенте </t>
  </si>
  <si>
    <t xml:space="preserve">Ставка на руки </t>
  </si>
  <si>
    <t>Закладываемая маржа на разработчика (%)</t>
  </si>
  <si>
    <t>Ссылка на макеты</t>
  </si>
  <si>
    <t>Итого:</t>
  </si>
  <si>
    <t>Ссылка на ТЗ</t>
  </si>
  <si>
    <t>Стоимость проекта</t>
  </si>
  <si>
    <t>Стоимость проекта:</t>
  </si>
  <si>
    <t xml:space="preserve">Маржинальность проекта: </t>
  </si>
  <si>
    <t>% Sales</t>
  </si>
  <si>
    <t xml:space="preserve">Включен в маржу </t>
  </si>
  <si>
    <t xml:space="preserve">% другое </t>
  </si>
  <si>
    <t xml:space="preserve">Продолжительность раб. часов/дней/недель:  </t>
  </si>
  <si>
    <t xml:space="preserve">Часов </t>
  </si>
  <si>
    <t>Дней</t>
  </si>
  <si>
    <t xml:space="preserve">Недель </t>
  </si>
  <si>
    <t>Хронология проекта (необходимо учесть выходные, праздничные и отпуск)</t>
  </si>
  <si>
    <t>1 неделя</t>
  </si>
  <si>
    <t>5 недель</t>
  </si>
  <si>
    <t>6 недель</t>
  </si>
  <si>
    <t>7 недель</t>
  </si>
  <si>
    <t>8 недель</t>
  </si>
  <si>
    <t>9 недель</t>
  </si>
  <si>
    <t>Работы по дизайну:</t>
  </si>
  <si>
    <t>Работы по фронтенду:</t>
  </si>
  <si>
    <t>Работы по бекенду:</t>
  </si>
  <si>
    <t xml:space="preserve">Работы по смарт контрактам </t>
  </si>
  <si>
    <t>Работы менеджера:</t>
  </si>
  <si>
    <t>Работы тестировщика:</t>
  </si>
  <si>
    <t>Инструкция к заполнению:
1. Задачи оцениваются в днях/полу днях. 
2. Для каждого типа работ указывает этот тип работ в столбце B.
3. Для каждого типа работ на проекте проставляем кто будет выполнять эту работу в столбце А (специалист 1,2 и т.д.)
4. Если задача занимает больше 5 дней. Ее необходимо разделить на более мелкие подзадачи
5. Задачи по фронтенду должны сразу включать в себя работы по интеграции с бэкендом
6. При нажатии на "+" - раскрывается разбивка по выбранным специалистам. Сколько на каждого выделено время на проекте. 
Можно использовать для разбивки работ для команды. 
7. Во вкладке "Чек лист Задач" - можно ознакомиться с типовыми задачами. О которых можно было забыть.
Оценка производится в полу днях, а не в часах, в связи с тем, что между задачами происходит переключение. Меняется фокус и скорость работы. Человек не робот, не работает  максимально эффективно над каждой задачей. Такой подход снижает нагрузку на команду и повышает точность планирования, так как легче учитывать погрешности в рамках дня, а не точного количества часов, которые могут варьироваться из-за перерывов или непредвиденных факторов.</t>
  </si>
  <si>
    <t>Дни минимум</t>
  </si>
  <si>
    <t xml:space="preserve">Дни максимум </t>
  </si>
  <si>
    <t>Недель с коф.</t>
  </si>
  <si>
    <t>па</t>
  </si>
  <si>
    <t>Распределение работ</t>
  </si>
  <si>
    <t xml:space="preserve">Вид работ </t>
  </si>
  <si>
    <t>Минимальная оценка дни (первичные данные)</t>
  </si>
  <si>
    <t>Максимальная оценка дни (первичные данные)</t>
  </si>
  <si>
    <t xml:space="preserve">Итоговые значения с учетом коэффициентов </t>
  </si>
  <si>
    <t>DevOps: Инфраструктура</t>
  </si>
  <si>
    <t>Смарт-контракты</t>
  </si>
  <si>
    <t>Backend (Monolith): Инициализация NestJS проекта</t>
  </si>
  <si>
    <t>Backend (Monolith): User Module</t>
  </si>
  <si>
    <t>Backend (Monolith): Trading Module</t>
  </si>
  <si>
    <t>Backend (Monolith): Referral Module</t>
  </si>
  <si>
    <t>Backend (Monolith): Миграции БД и документация</t>
  </si>
  <si>
    <t>Интеграции</t>
  </si>
  <si>
    <t>Старт проекта</t>
  </si>
  <si>
    <t>телеграм интеграция</t>
  </si>
  <si>
    <t xml:space="preserve">- ячейки, которые необходимо заполнить </t>
  </si>
  <si>
    <t xml:space="preserve">1. В столбце А, начиная с строки 5, вносятся ФИО или тип работ, соответсвующий выбранному типу работ в вкладке "Оценка".
2. В столбце Н, начиная с строки 5, вносятся ставки на руки специалистов на проетке. 
3. В столбце С, начиная с строки 15, выбираются коэффиценты необходимые на проекте.  
4. Восле занесения всех данных и окончательной оценки, в ячейке С8, сумарно сколько рабочих недель планируетс реализовывать проект (в недели 5 дней по 8 часов в дне). </t>
  </si>
  <si>
    <t>Виды работ</t>
  </si>
  <si>
    <t>Часовая ставка:</t>
  </si>
  <si>
    <t>Ставка на клиенте</t>
  </si>
  <si>
    <t>Manual QA</t>
  </si>
  <si>
    <t>Тестировщик</t>
  </si>
  <si>
    <t>Менеджер</t>
  </si>
  <si>
    <t>Коэффициенты</t>
  </si>
  <si>
    <t>Недель</t>
  </si>
  <si>
    <t>Проверка и отладка задач (%)</t>
  </si>
  <si>
    <t>Себестоимость проекта:</t>
  </si>
  <si>
    <t>Код ревью (Количество часов на разработчика в день). В норме 1 час.</t>
  </si>
  <si>
    <t>Коммуникации (3 часа в неделю на каждого)</t>
  </si>
  <si>
    <t xml:space="preserve">Тестировщик </t>
  </si>
  <si>
    <t>Буфер на риски</t>
  </si>
  <si>
    <t xml:space="preserve">Менеджер </t>
  </si>
  <si>
    <t>Название</t>
  </si>
  <si>
    <t>Описание</t>
  </si>
  <si>
    <t>Это важная задача</t>
  </si>
  <si>
    <t>Разрешить ответственному менять сроки задачи</t>
  </si>
  <si>
    <t>Пропустить выходные и праздничные дни</t>
  </si>
  <si>
    <t>Проконтролировать задачу после завершения</t>
  </si>
  <si>
    <t>Проект</t>
  </si>
  <si>
    <t>Задано время на завершение задачи</t>
  </si>
  <si>
    <t>Время на выполнение задачи в секундах</t>
  </si>
  <si>
    <t>Теги</t>
  </si>
  <si>
    <t>Начать задачу с</t>
  </si>
  <si>
    <t>Завершить задачу</t>
  </si>
  <si>
    <t>Риск</t>
  </si>
  <si>
    <t>Дней первичных  минимум</t>
  </si>
  <si>
    <t>Дней первичных максимум</t>
  </si>
  <si>
    <t>Дизайн</t>
  </si>
  <si>
    <t>Получение задачи</t>
  </si>
  <si>
    <t>Этот этап помогает в понимании: для кого разрабатывается продукт / какие задачи он будет решать / какие могут быть ограничения / какая будет структура и объем проработки.</t>
  </si>
  <si>
    <t>Проработка сценариев пользователя</t>
  </si>
  <si>
    <t>(основной, второстепенные, экстренные): основные шаги, целевое действие, способ перехода к следующему шагу</t>
  </si>
  <si>
    <t>Прототипирование</t>
  </si>
  <si>
    <t>На основе сценария и полученных данных выстраивается примерное отображение функционала и количество экранов продукта.</t>
  </si>
  <si>
    <t>Визуальное решение</t>
  </si>
  <si>
    <t>Поиск визуального решения на основе референсов, брендбука, ожиданий клиента и ЦА</t>
  </si>
  <si>
    <t>Составление мудборда, подбор референсов и стилистики</t>
  </si>
  <si>
    <t>Отрисовка UI кита (дизайн-система)</t>
  </si>
  <si>
    <t>Набор базовых элементов интерфейса, которые будут применятся дальше в дизайне и вёрстке. На основе этой системы можно масштабировать дизайн продукта</t>
  </si>
  <si>
    <t>Отрисовка экранов в соответствии с дизайн системой</t>
  </si>
  <si>
    <t>Зависит от количества экранов</t>
  </si>
  <si>
    <t>Фронтенд</t>
  </si>
  <si>
    <t>Получение задачи и первичное знакомство с проектом</t>
  </si>
  <si>
    <t>Изучение ТЗ, макетов, функциональных требований</t>
  </si>
  <si>
    <t>Изучение специфичных технологий для проекта</t>
  </si>
  <si>
    <t>Если используются технологии, с которыми разработчик ранее не работал</t>
  </si>
  <si>
    <t>Базовая настройка проекта</t>
  </si>
  <si>
    <t>Настройка сборки, лейаутов, проектирование архитектуры</t>
  </si>
  <si>
    <t>Настройка деплоя</t>
  </si>
  <si>
    <t>Сборка и деплой приложения</t>
  </si>
  <si>
    <t>Работа с UI-Kit</t>
  </si>
  <si>
    <t>Проработка элементов для использования их по всему проекту</t>
  </si>
  <si>
    <t>Бекенд</t>
  </si>
  <si>
    <t>Деплой на стейджинг</t>
  </si>
  <si>
    <t>Тестирование</t>
  </si>
  <si>
    <t>Изучение проекта</t>
  </si>
  <si>
    <t>Первичное знакомство с проектом</t>
  </si>
  <si>
    <t>Тестирование технического задания</t>
  </si>
  <si>
    <t>Выявление неточностей, белых пятен, недостаточного описания</t>
  </si>
  <si>
    <t>Тестирование макетов</t>
  </si>
  <si>
    <t>Сравнение макетов с требованиями ТЗ</t>
  </si>
  <si>
    <t>Составление тест-плана и тест-кейсов</t>
  </si>
  <si>
    <t>Проработка кейсов поведения пользователя, планирование тестирования</t>
  </si>
  <si>
    <t>Ручное тестирование</t>
  </si>
  <si>
    <t>Проверка тест-кейсов и тестирование разработанного ПО на соответствие макетам. Зависит от количества экранов</t>
  </si>
  <si>
    <t>Смарт контракты</t>
  </si>
  <si>
    <t>тест</t>
  </si>
  <si>
    <t xml:space="preserve">тест </t>
  </si>
  <si>
    <t>Планирование, учет рабочего времени, контроль бюджета;</t>
  </si>
  <si>
    <t>Проектная, финансовая и прочая отчетность;</t>
  </si>
  <si>
    <t>Прояснение и обновление требований и дизайнов;</t>
  </si>
  <si>
    <t>Мультиязычность;</t>
  </si>
  <si>
    <t>Подготовка демо данных и окружения, подготовка и проведение демо;</t>
  </si>
  <si>
    <t>Обновление документации после изменений в коде;</t>
  </si>
  <si>
    <t>Сама оценка (за нее в конце концов тоже кто-то должен заплатить);</t>
  </si>
  <si>
    <t>различные виды тестирования, помимо функционального;</t>
  </si>
  <si>
    <t>получение доступов и простои из-за их отсутствия;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</si>
</sst>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#,##0.0"/>
    <numFmt numFmtId="166" formatCode="dd&quot;.&quot;mm&quot;.&quot;yyyy"/>
  </numFmts>
  <fonts count="2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sz val="12.0"/>
      <color theme="1"/>
      <name val="Montserrat"/>
    </font>
    <font>
      <b/>
      <color theme="1"/>
      <name val="Arial"/>
      <scheme val="minor"/>
    </font>
    <font>
      <sz val="10.0"/>
      <color theme="1"/>
      <name val="Montserrat"/>
    </font>
    <font>
      <b/>
      <sz val="16.0"/>
      <color theme="1"/>
      <name val="Montserrat"/>
    </font>
    <font>
      <sz val="24.0"/>
      <color theme="1"/>
      <name val="Montserrat"/>
    </font>
    <font>
      <sz val="12.0"/>
      <color theme="1"/>
      <name val="Arial"/>
      <scheme val="minor"/>
    </font>
    <font>
      <sz val="12.0"/>
      <color theme="1"/>
      <name val="Roboto Mono"/>
    </font>
    <font>
      <b/>
      <color theme="1"/>
      <name val="Arial"/>
    </font>
    <font>
      <sz val="10.0"/>
      <color rgb="FF777777"/>
      <name val="Montserrat"/>
    </font>
    <font>
      <b/>
      <sz val="11.0"/>
      <color theme="1"/>
      <name val="Montserrat"/>
    </font>
    <font>
      <u/>
      <color rgb="FF1155CC"/>
      <name val="Arial"/>
      <scheme val="minor"/>
    </font>
    <font/>
    <font>
      <color theme="1"/>
      <name val="Arial"/>
    </font>
    <font>
      <b/>
      <color rgb="FF000000"/>
      <name val="Arial"/>
    </font>
    <font>
      <sz val="9.0"/>
      <color rgb="FF000000"/>
      <name val="Arial"/>
      <scheme val="minor"/>
    </font>
    <font>
      <color rgb="FF000000"/>
      <name val="Arial"/>
    </font>
    <font>
      <b/>
      <sz val="11.0"/>
      <color rgb="FF000000"/>
      <name val="Arial"/>
    </font>
    <font>
      <sz val="10.0"/>
      <color theme="1"/>
      <name val="Arial"/>
    </font>
    <font>
      <sz val="11.0"/>
      <color rgb="FF000000"/>
      <name val="Arial"/>
    </font>
    <font>
      <b/>
      <sz val="11.0"/>
      <color theme="1"/>
      <name val="Arial"/>
    </font>
    <font>
      <sz val="11.0"/>
      <color rgb="FFFF9900"/>
      <name val="Arial"/>
    </font>
    <font>
      <sz val="12.0"/>
      <color theme="1"/>
      <name val="Arial"/>
    </font>
    <font>
      <sz val="10.0"/>
      <color theme="1"/>
      <name val="Arial"/>
      <scheme val="minor"/>
    </font>
    <font>
      <sz val="10.0"/>
      <color rgb="FF0D0D0D"/>
      <name val="Roboto"/>
    </font>
    <font>
      <sz val="10.0"/>
      <color rgb="FF0D0D0D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A301"/>
        <bgColor rgb="FFFFA301"/>
      </patternFill>
    </fill>
    <fill>
      <patternFill patternType="solid">
        <fgColor rgb="FFF4F4F4"/>
        <bgColor rgb="FFF4F4F4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E5A57"/>
        <bgColor rgb="FFCE5A57"/>
      </patternFill>
    </fill>
    <fill>
      <patternFill patternType="solid">
        <fgColor theme="0"/>
        <bgColor theme="0"/>
      </patternFill>
    </fill>
  </fills>
  <borders count="26">
    <border/>
    <border>
      <left style="thin">
        <color rgb="FFFFA301"/>
      </left>
      <top style="thin">
        <color rgb="FFFFA301"/>
      </top>
    </border>
    <border>
      <top style="thin">
        <color rgb="FFFFA301"/>
      </top>
    </border>
    <border>
      <right style="thin">
        <color rgb="FFFFA301"/>
      </right>
      <top style="thin">
        <color rgb="FFFFA301"/>
      </top>
    </border>
    <border>
      <left style="thin">
        <color rgb="FFFFA301"/>
      </left>
      <bottom style="thin">
        <color rgb="FFFFA301"/>
      </bottom>
    </border>
    <border>
      <bottom style="thin">
        <color rgb="FFFFA301"/>
      </bottom>
    </border>
    <border>
      <right style="thin">
        <color rgb="FFFFA301"/>
      </right>
      <bottom style="thin">
        <color rgb="FFFFA301"/>
      </bottom>
    </border>
    <border>
      <left style="thin">
        <color rgb="FFFFA301"/>
      </left>
    </border>
    <border>
      <right style="thin">
        <color rgb="FFFFA301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1" xfId="0" applyFont="1" applyNumberFormat="1"/>
    <xf borderId="0" fillId="0" fontId="1" numFmtId="1" xfId="0" applyAlignment="1" applyFont="1" applyNumberFormat="1">
      <alignment shrinkToFit="0" wrapText="1"/>
    </xf>
    <xf borderId="0" fillId="0" fontId="1" numFmtId="1" xfId="0" applyAlignment="1" applyFont="1" applyNumberFormat="1">
      <alignment horizontal="left" shrinkToFit="0" vertical="top" wrapText="1"/>
    </xf>
    <xf borderId="0" fillId="0" fontId="1" numFmtId="1" xfId="0" applyAlignment="1" applyFont="1" applyNumberFormat="1">
      <alignment horizontal="center" shrinkToFit="0" wrapText="1"/>
    </xf>
    <xf borderId="0" fillId="0" fontId="2" numFmtId="1" xfId="0" applyAlignment="1" applyFont="1" applyNumberFormat="1">
      <alignment horizontal="left" shrinkToFit="0" wrapText="1"/>
    </xf>
    <xf borderId="0" fillId="0" fontId="2" numFmtId="1" xfId="0" applyAlignment="1" applyFont="1" applyNumberFormat="1">
      <alignment horizontal="center" shrinkToFit="0" wrapText="1"/>
    </xf>
    <xf borderId="0" fillId="0" fontId="3" numFmtId="1" xfId="0" applyAlignment="1" applyFont="1" applyNumberFormat="1">
      <alignment horizontal="center" readingOrder="0" shrinkToFit="0" vertical="top" wrapText="1"/>
    </xf>
    <xf borderId="0" fillId="0" fontId="4" numFmtId="1" xfId="0" applyAlignment="1" applyFont="1" applyNumberFormat="1">
      <alignment horizontal="left" shrinkToFit="0" vertical="top" wrapText="1"/>
    </xf>
    <xf borderId="0" fillId="0" fontId="5" numFmtId="1" xfId="0" applyAlignment="1" applyFont="1" applyNumberFormat="1">
      <alignment horizontal="center" vertical="center"/>
    </xf>
    <xf borderId="0" fillId="0" fontId="5" numFmtId="1" xfId="0" applyAlignment="1" applyFont="1" applyNumberFormat="1">
      <alignment horizontal="center" readingOrder="0" vertical="center"/>
    </xf>
    <xf borderId="0" fillId="0" fontId="6" numFmtId="1" xfId="0" applyAlignment="1" applyFont="1" applyNumberFormat="1">
      <alignment readingOrder="0"/>
    </xf>
    <xf borderId="0" fillId="0" fontId="7" numFmtId="1" xfId="0" applyAlignment="1" applyFont="1" applyNumberFormat="1">
      <alignment readingOrder="0" shrinkToFit="0" vertical="bottom" wrapText="1"/>
    </xf>
    <xf borderId="0" fillId="0" fontId="7" numFmtId="1" xfId="0" applyAlignment="1" applyFont="1" applyNumberFormat="1">
      <alignment horizontal="left" readingOrder="0" shrinkToFit="0" vertical="top" wrapText="1"/>
    </xf>
    <xf borderId="0" fillId="0" fontId="7" numFmtId="1" xfId="0" applyAlignment="1" applyFont="1" applyNumberFormat="1">
      <alignment readingOrder="0" shrinkToFit="0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1" xfId="0" applyAlignment="1" applyFont="1" applyNumberFormat="1">
      <alignment readingOrder="0" shrinkToFit="0" wrapText="1"/>
    </xf>
    <xf borderId="0" fillId="0" fontId="8" numFmtId="1" xfId="0" applyAlignment="1" applyFont="1" applyNumberFormat="1">
      <alignment horizontal="center" shrinkToFit="0" vertical="top" wrapText="1"/>
    </xf>
    <xf borderId="0" fillId="0" fontId="8" numFmtId="1" xfId="0" applyAlignment="1" applyFont="1" applyNumberFormat="1">
      <alignment shrinkToFit="0" vertical="top" wrapText="1"/>
    </xf>
    <xf borderId="0" fillId="0" fontId="3" numFmtId="1" xfId="0" applyAlignment="1" applyFont="1" applyNumberFormat="1">
      <alignment horizontal="center" shrinkToFit="0" vertical="top" wrapText="1"/>
    </xf>
    <xf borderId="0" fillId="0" fontId="9" numFmtId="1" xfId="0" applyAlignment="1" applyFont="1" applyNumberFormat="1">
      <alignment shrinkToFit="0" vertical="top" wrapText="1"/>
    </xf>
    <xf borderId="0" fillId="0" fontId="1" numFmtId="1" xfId="0" applyAlignment="1" applyFont="1" applyNumberFormat="1">
      <alignment shrinkToFit="0" vertical="top" wrapText="1"/>
    </xf>
    <xf borderId="0" fillId="0" fontId="10" numFmtId="1" xfId="0" applyAlignment="1" applyFont="1" applyNumberFormat="1">
      <alignment vertical="bottom"/>
    </xf>
    <xf borderId="0" fillId="0" fontId="11" numFmtId="1" xfId="0" applyAlignment="1" applyFont="1" applyNumberFormat="1">
      <alignment horizontal="left" readingOrder="0"/>
    </xf>
    <xf borderId="1" fillId="2" fontId="3" numFmtId="1" xfId="0" applyAlignment="1" applyBorder="1" applyFill="1" applyFont="1" applyNumberFormat="1">
      <alignment horizontal="center" readingOrder="0" shrinkToFit="0" vertical="center" wrapText="1"/>
    </xf>
    <xf borderId="2" fillId="2" fontId="3" numFmtId="1" xfId="0" applyAlignment="1" applyBorder="1" applyFont="1" applyNumberFormat="1">
      <alignment horizontal="center" readingOrder="0" shrinkToFit="0" vertical="top" wrapText="1"/>
    </xf>
    <xf borderId="3" fillId="2" fontId="3" numFmtId="1" xfId="0" applyAlignment="1" applyBorder="1" applyFont="1" applyNumberFormat="1">
      <alignment horizontal="center" readingOrder="0" shrinkToFit="0" vertical="top" wrapText="1"/>
    </xf>
    <xf borderId="4" fillId="0" fontId="5" numFmtId="1" xfId="0" applyAlignment="1" applyBorder="1" applyFont="1" applyNumberFormat="1">
      <alignment horizontal="center" readingOrder="0" shrinkToFit="0" vertical="center" wrapText="1"/>
    </xf>
    <xf borderId="5" fillId="0" fontId="5" numFmtId="1" xfId="0" applyAlignment="1" applyBorder="1" applyFont="1" applyNumberFormat="1">
      <alignment horizontal="center" readingOrder="0" shrinkToFit="0" vertical="top" wrapText="1"/>
    </xf>
    <xf borderId="6" fillId="0" fontId="5" numFmtId="1" xfId="0" applyAlignment="1" applyBorder="1" applyFont="1" applyNumberFormat="1">
      <alignment horizontal="center" readingOrder="0" shrinkToFit="0" vertical="top" wrapText="1"/>
    </xf>
    <xf borderId="2" fillId="2" fontId="3" numFmtId="1" xfId="0" applyAlignment="1" applyBorder="1" applyFont="1" applyNumberFormat="1">
      <alignment horizontal="center" readingOrder="0" shrinkToFit="0" vertical="center" wrapText="1"/>
    </xf>
    <xf borderId="3" fillId="2" fontId="3" numFmtId="1" xfId="0" applyAlignment="1" applyBorder="1" applyFont="1" applyNumberFormat="1">
      <alignment horizontal="center" readingOrder="0" shrinkToFit="0" vertical="center" wrapText="1"/>
    </xf>
    <xf borderId="7" fillId="3" fontId="5" numFmtId="1" xfId="0" applyAlignment="1" applyBorder="1" applyFill="1" applyFont="1" applyNumberFormat="1">
      <alignment horizontal="center" readingOrder="0" shrinkToFit="0" vertical="center" wrapText="1"/>
    </xf>
    <xf borderId="0" fillId="3" fontId="5" numFmtId="1" xfId="0" applyAlignment="1" applyFont="1" applyNumberFormat="1">
      <alignment horizontal="center" readingOrder="0" shrinkToFit="0" vertical="center" wrapText="1"/>
    </xf>
    <xf borderId="8" fillId="3" fontId="5" numFmtId="1" xfId="0" applyAlignment="1" applyBorder="1" applyFont="1" applyNumberFormat="1">
      <alignment horizontal="center" readingOrder="0" shrinkToFit="0" vertical="center" wrapText="1"/>
    </xf>
    <xf borderId="7" fillId="4" fontId="5" numFmtId="1" xfId="0" applyAlignment="1" applyBorder="1" applyFill="1" applyFont="1" applyNumberFormat="1">
      <alignment horizontal="center" readingOrder="0" shrinkToFit="0" vertical="center" wrapText="1"/>
    </xf>
    <xf borderId="0" fillId="4" fontId="5" numFmtId="1" xfId="0" applyAlignment="1" applyFont="1" applyNumberFormat="1">
      <alignment horizontal="center" readingOrder="0" shrinkToFit="0" vertical="center" wrapText="1"/>
    </xf>
    <xf borderId="8" fillId="4" fontId="5" numFmtId="1" xfId="0" applyAlignment="1" applyBorder="1" applyFont="1" applyNumberFormat="1">
      <alignment horizontal="center" readingOrder="0" shrinkToFit="0" vertical="center" wrapText="1"/>
    </xf>
    <xf borderId="4" fillId="4" fontId="5" numFmtId="1" xfId="0" applyAlignment="1" applyBorder="1" applyFont="1" applyNumberFormat="1">
      <alignment horizontal="center" readingOrder="0" shrinkToFit="0" vertical="center" wrapText="1"/>
    </xf>
    <xf borderId="5" fillId="4" fontId="5" numFmtId="1" xfId="0" applyAlignment="1" applyBorder="1" applyFont="1" applyNumberFormat="1">
      <alignment horizontal="center" readingOrder="0" shrinkToFit="0" vertical="center" wrapText="1"/>
    </xf>
    <xf borderId="6" fillId="4" fontId="5" numFmtId="1" xfId="0" applyAlignment="1" applyBorder="1" applyFont="1" applyNumberFormat="1">
      <alignment horizontal="center" readingOrder="0" shrinkToFit="0" vertical="center" wrapText="1"/>
    </xf>
    <xf borderId="0" fillId="0" fontId="12" numFmtId="1" xfId="0" applyAlignment="1" applyFont="1" applyNumberFormat="1">
      <alignment horizontal="center" readingOrder="0" shrinkToFit="0" vertical="center" wrapText="1"/>
    </xf>
    <xf borderId="2" fillId="2" fontId="3" numFmtId="1" xfId="0" applyAlignment="1" applyBorder="1" applyFont="1" applyNumberFormat="1">
      <alignment horizontal="left" readingOrder="0" shrinkToFit="0" vertical="top" wrapText="1"/>
    </xf>
    <xf borderId="0" fillId="3" fontId="5" numFmtId="1" xfId="0" applyAlignment="1" applyFont="1" applyNumberFormat="1">
      <alignment horizontal="left" readingOrder="0" shrinkToFit="0" vertical="top" wrapText="1"/>
    </xf>
    <xf borderId="0" fillId="4" fontId="5" numFmtId="1" xfId="0" applyAlignment="1" applyFont="1" applyNumberFormat="1">
      <alignment horizontal="left" readingOrder="0" shrinkToFit="0" vertical="top" wrapText="1"/>
    </xf>
    <xf borderId="5" fillId="4" fontId="5" numFmtId="1" xfId="0" applyAlignment="1" applyBorder="1" applyFont="1" applyNumberFormat="1">
      <alignment horizontal="left" readingOrder="0" shrinkToFit="0" vertical="top" wrapText="1"/>
    </xf>
    <xf borderId="5" fillId="4" fontId="5" numFmtId="1" xfId="0" applyAlignment="1" applyBorder="1" applyFont="1" applyNumberFormat="1">
      <alignment horizontal="left" shrinkToFit="0" vertical="top" wrapText="1"/>
    </xf>
    <xf borderId="7" fillId="3" fontId="5" numFmtId="1" xfId="0" applyAlignment="1" applyBorder="1" applyFont="1" applyNumberFormat="1">
      <alignment horizontal="center" shrinkToFit="0" vertical="center" wrapText="1"/>
    </xf>
    <xf borderId="0" fillId="3" fontId="5" numFmtId="1" xfId="0" applyAlignment="1" applyFont="1" applyNumberFormat="1">
      <alignment horizontal="left" shrinkToFit="0" vertical="top" wrapText="1"/>
    </xf>
    <xf borderId="7" fillId="4" fontId="5" numFmtId="1" xfId="0" applyAlignment="1" applyBorder="1" applyFont="1" applyNumberFormat="1">
      <alignment horizontal="center" shrinkToFit="0" vertical="center" wrapText="1"/>
    </xf>
    <xf borderId="0" fillId="4" fontId="5" numFmtId="1" xfId="0" applyAlignment="1" applyFont="1" applyNumberFormat="1">
      <alignment horizontal="left" shrinkToFit="0" vertical="top" wrapText="1"/>
    </xf>
    <xf borderId="4" fillId="3" fontId="5" numFmtId="1" xfId="0" applyAlignment="1" applyBorder="1" applyFont="1" applyNumberFormat="1">
      <alignment horizontal="center" readingOrder="0" shrinkToFit="0" vertical="center" wrapText="1"/>
    </xf>
    <xf borderId="5" fillId="3" fontId="5" numFmtId="1" xfId="0" applyAlignment="1" applyBorder="1" applyFont="1" applyNumberFormat="1">
      <alignment horizontal="left" readingOrder="0" shrinkToFit="0" vertical="top" wrapText="1"/>
    </xf>
    <xf borderId="6" fillId="3" fontId="5" numFmtId="1" xfId="0" applyAlignment="1" applyBorder="1" applyFont="1" applyNumberFormat="1">
      <alignment horizontal="center" readingOrder="0" shrinkToFit="0" vertical="center" wrapText="1"/>
    </xf>
    <xf borderId="5" fillId="3" fontId="5" numFmtId="1" xfId="0" applyAlignment="1" applyBorder="1" applyFont="1" applyNumberFormat="1">
      <alignment horizontal="left" shrinkToFit="0" vertical="top" wrapText="1"/>
    </xf>
    <xf borderId="0" fillId="0" fontId="1" numFmtId="2" xfId="0" applyFont="1" applyNumberFormat="1"/>
    <xf borderId="0" fillId="0" fontId="4" numFmtId="2" xfId="0" applyAlignment="1" applyFont="1" applyNumberFormat="1">
      <alignment readingOrder="0"/>
    </xf>
    <xf borderId="9" fillId="5" fontId="1" numFmtId="2" xfId="0" applyBorder="1" applyFill="1" applyFont="1" applyNumberFormat="1"/>
    <xf borderId="10" fillId="0" fontId="1" numFmtId="2" xfId="0" applyBorder="1" applyFont="1" applyNumberFormat="1"/>
    <xf borderId="0" fillId="0" fontId="4" numFmtId="2" xfId="0" applyAlignment="1" applyFont="1" applyNumberFormat="1">
      <alignment readingOrder="0" vertical="top"/>
    </xf>
    <xf borderId="11" fillId="0" fontId="4" numFmtId="2" xfId="0" applyAlignment="1" applyBorder="1" applyFont="1" applyNumberFormat="1">
      <alignment readingOrder="0" shrinkToFit="0" vertical="center" wrapText="1"/>
    </xf>
    <xf borderId="12" fillId="5" fontId="4" numFmtId="2" xfId="0" applyAlignment="1" applyBorder="1" applyFont="1" applyNumberFormat="1">
      <alignment readingOrder="0" shrinkToFit="0" vertical="center" wrapText="1"/>
    </xf>
    <xf borderId="0" fillId="0" fontId="1" numFmtId="2" xfId="0" applyAlignment="1" applyFont="1" applyNumberFormat="1">
      <alignment readingOrder="0" shrinkToFit="0" wrapText="1"/>
    </xf>
    <xf borderId="13" fillId="0" fontId="4" numFmtId="2" xfId="0" applyAlignment="1" applyBorder="1" applyFont="1" applyNumberFormat="1">
      <alignment horizontal="center" readingOrder="0" shrinkToFit="0" vertical="center" wrapText="1"/>
    </xf>
    <xf borderId="13" fillId="0" fontId="4" numFmtId="2" xfId="0" applyAlignment="1" applyBorder="1" applyFont="1" applyNumberFormat="1">
      <alignment horizontal="center" readingOrder="0" vertical="center"/>
    </xf>
    <xf borderId="12" fillId="0" fontId="4" numFmtId="2" xfId="0" applyAlignment="1" applyBorder="1" applyFont="1" applyNumberFormat="1">
      <alignment horizontal="center" readingOrder="0" shrinkToFit="0" vertical="center" wrapText="1"/>
    </xf>
    <xf borderId="14" fillId="0" fontId="1" numFmtId="2" xfId="0" applyAlignment="1" applyBorder="1" applyFont="1" applyNumberFormat="1">
      <alignment readingOrder="0" shrinkToFit="0" vertical="center" wrapText="1"/>
    </xf>
    <xf borderId="15" fillId="5" fontId="1" numFmtId="2" xfId="0" applyAlignment="1" applyBorder="1" applyFont="1" applyNumberFormat="1">
      <alignment horizontal="left" readingOrder="0" shrinkToFit="0" wrapText="1"/>
    </xf>
    <xf borderId="14" fillId="0" fontId="4" numFmtId="2" xfId="0" applyAlignment="1" applyBorder="1" applyFont="1" applyNumberFormat="1">
      <alignment horizontal="right" readingOrder="0" shrinkToFit="0" vertical="center" wrapText="1"/>
    </xf>
    <xf borderId="0" fillId="0" fontId="4" numFmtId="2" xfId="0" applyAlignment="1" applyFont="1" applyNumberFormat="1">
      <alignment horizontal="center" vertical="center"/>
    </xf>
    <xf borderId="0" fillId="0" fontId="4" numFmtId="2" xfId="0" applyAlignment="1" applyFont="1" applyNumberFormat="1">
      <alignment horizontal="center" readingOrder="0" vertical="center"/>
    </xf>
    <xf borderId="15" fillId="0" fontId="4" numFmtId="9" xfId="0" applyAlignment="1" applyBorder="1" applyFont="1" applyNumberFormat="1">
      <alignment horizontal="center" readingOrder="0" vertical="center"/>
    </xf>
    <xf borderId="16" fillId="0" fontId="1" numFmtId="2" xfId="0" applyAlignment="1" applyBorder="1" applyFont="1" applyNumberFormat="1">
      <alignment readingOrder="0" shrinkToFit="0" vertical="center" wrapText="1"/>
    </xf>
    <xf borderId="17" fillId="5" fontId="13" numFmtId="2" xfId="0" applyAlignment="1" applyBorder="1" applyFont="1" applyNumberFormat="1">
      <alignment horizontal="left" readingOrder="0" shrinkToFit="0" wrapText="1"/>
    </xf>
    <xf borderId="14" fillId="0" fontId="1" numFmtId="2" xfId="0" applyAlignment="1" applyBorder="1" applyFont="1" applyNumberFormat="1">
      <alignment vertical="center"/>
    </xf>
    <xf borderId="0" fillId="0" fontId="1" numFmtId="2" xfId="0" applyAlignment="1" applyFont="1" applyNumberFormat="1">
      <alignment horizontal="center" vertical="center"/>
    </xf>
    <xf borderId="15" fillId="5" fontId="1" numFmtId="9" xfId="0" applyAlignment="1" applyBorder="1" applyFont="1" applyNumberFormat="1">
      <alignment horizontal="center" readingOrder="0" vertical="center"/>
    </xf>
    <xf borderId="0" fillId="0" fontId="1" numFmtId="2" xfId="0" applyAlignment="1" applyFont="1" applyNumberFormat="1">
      <alignment vertical="center"/>
    </xf>
    <xf borderId="18" fillId="0" fontId="10" numFmtId="2" xfId="0" applyAlignment="1" applyBorder="1" applyFont="1" applyNumberFormat="1">
      <alignment horizontal="center" readingOrder="0" shrinkToFit="0" vertical="center" wrapText="1"/>
    </xf>
    <xf borderId="19" fillId="0" fontId="14" numFmtId="0" xfId="0" applyBorder="1" applyFont="1"/>
    <xf borderId="14" fillId="0" fontId="15" numFmtId="2" xfId="0" applyAlignment="1" applyBorder="1" applyFont="1" applyNumberFormat="1">
      <alignment readingOrder="0" shrinkToFit="0" vertical="bottom" wrapText="1"/>
    </xf>
    <xf borderId="15" fillId="0" fontId="10" numFmtId="2" xfId="0" applyAlignment="1" applyBorder="1" applyFont="1" applyNumberFormat="1">
      <alignment horizontal="center" vertical="bottom"/>
    </xf>
    <xf borderId="16" fillId="0" fontId="15" numFmtId="2" xfId="0" applyAlignment="1" applyBorder="1" applyFont="1" applyNumberFormat="1">
      <alignment shrinkToFit="0" vertical="bottom" wrapText="1"/>
    </xf>
    <xf borderId="17" fillId="0" fontId="10" numFmtId="10" xfId="0" applyAlignment="1" applyBorder="1" applyFont="1" applyNumberFormat="1">
      <alignment horizontal="center"/>
    </xf>
    <xf borderId="11" fillId="0" fontId="4" numFmtId="2" xfId="0" applyAlignment="1" applyBorder="1" applyFont="1" applyNumberFormat="1">
      <alignment readingOrder="0"/>
    </xf>
    <xf borderId="12" fillId="4" fontId="4" numFmtId="2" xfId="0" applyAlignment="1" applyBorder="1" applyFont="1" applyNumberFormat="1">
      <alignment horizontal="center" readingOrder="0" vertical="center"/>
    </xf>
    <xf borderId="16" fillId="0" fontId="4" numFmtId="2" xfId="0" applyAlignment="1" applyBorder="1" applyFont="1" applyNumberFormat="1">
      <alignment readingOrder="0"/>
    </xf>
    <xf borderId="17" fillId="5" fontId="1" numFmtId="2" xfId="0" applyAlignment="1" applyBorder="1" applyFont="1" applyNumberFormat="1">
      <alignment horizontal="center" readingOrder="0" vertical="center"/>
    </xf>
    <xf borderId="14" fillId="0" fontId="1" numFmtId="2" xfId="0" applyAlignment="1" applyBorder="1" applyFont="1" applyNumberFormat="1">
      <alignment readingOrder="0"/>
    </xf>
    <xf borderId="14" fillId="0" fontId="1" numFmtId="2" xfId="0" applyBorder="1" applyFont="1" applyNumberFormat="1"/>
    <xf borderId="18" fillId="0" fontId="10" numFmtId="2" xfId="0" applyAlignment="1" applyBorder="1" applyFont="1" applyNumberFormat="1">
      <alignment readingOrder="0" shrinkToFit="0" vertical="bottom" wrapText="1"/>
    </xf>
    <xf borderId="14" fillId="0" fontId="4" numFmtId="2" xfId="0" applyAlignment="1" applyBorder="1" applyFont="1" applyNumberFormat="1">
      <alignment horizontal="center" readingOrder="0"/>
    </xf>
    <xf borderId="15" fillId="0" fontId="1" numFmtId="2" xfId="0" applyAlignment="1" applyBorder="1" applyFont="1" applyNumberFormat="1">
      <alignment horizontal="center" vertical="center"/>
    </xf>
    <xf borderId="14" fillId="0" fontId="10" numFmtId="2" xfId="0" applyAlignment="1" applyBorder="1" applyFont="1" applyNumberFormat="1">
      <alignment horizontal="center" vertical="bottom"/>
    </xf>
    <xf borderId="15" fillId="0" fontId="15" numFmtId="2" xfId="0" applyAlignment="1" applyBorder="1" applyFont="1" applyNumberFormat="1">
      <alignment horizontal="center" vertical="bottom"/>
    </xf>
    <xf borderId="16" fillId="0" fontId="10" numFmtId="2" xfId="0" applyAlignment="1" applyBorder="1" applyFont="1" applyNumberFormat="1">
      <alignment horizontal="center" vertical="bottom"/>
    </xf>
    <xf borderId="17" fillId="5" fontId="15" numFmtId="2" xfId="0" applyAlignment="1" applyBorder="1" applyFont="1" applyNumberFormat="1">
      <alignment horizontal="center" readingOrder="0" vertical="bottom"/>
    </xf>
    <xf borderId="16" fillId="0" fontId="1" numFmtId="2" xfId="0" applyBorder="1" applyFont="1" applyNumberFormat="1"/>
    <xf borderId="20" fillId="0" fontId="1" numFmtId="2" xfId="0" applyAlignment="1" applyBorder="1" applyFont="1" applyNumberFormat="1">
      <alignment horizontal="center" vertical="center"/>
    </xf>
    <xf borderId="11" fillId="0" fontId="10" numFmtId="2" xfId="0" applyAlignment="1" applyBorder="1" applyFont="1" applyNumberFormat="1">
      <alignment readingOrder="0" shrinkToFit="0" vertical="bottom" wrapText="1"/>
    </xf>
    <xf borderId="21" fillId="0" fontId="15" numFmtId="2" xfId="0" applyAlignment="1" applyBorder="1" applyFont="1" applyNumberFormat="1">
      <alignment readingOrder="0" vertical="bottom"/>
    </xf>
    <xf borderId="21" fillId="0" fontId="15" numFmtId="2" xfId="0" applyAlignment="1" applyBorder="1" applyFont="1" applyNumberFormat="1">
      <alignment vertical="bottom"/>
    </xf>
    <xf borderId="19" fillId="0" fontId="15" numFmtId="2" xfId="0" applyAlignment="1" applyBorder="1" applyFont="1" applyNumberFormat="1">
      <alignment readingOrder="0" vertical="bottom"/>
    </xf>
    <xf borderId="11" fillId="0" fontId="1" numFmtId="2" xfId="0" applyAlignment="1" applyBorder="1" applyFont="1" applyNumberFormat="1">
      <alignment readingOrder="0" shrinkToFit="0" wrapText="1"/>
    </xf>
    <xf borderId="0" fillId="0" fontId="15" numFmtId="2" xfId="0" applyAlignment="1" applyFont="1" applyNumberFormat="1">
      <alignment vertical="bottom"/>
    </xf>
    <xf borderId="15" fillId="0" fontId="1" numFmtId="2" xfId="0" applyBorder="1" applyFont="1" applyNumberFormat="1"/>
    <xf borderId="14" fillId="0" fontId="1" numFmtId="2" xfId="0" applyAlignment="1" applyBorder="1" applyFont="1" applyNumberFormat="1">
      <alignment readingOrder="0" shrinkToFit="0" wrapText="1"/>
    </xf>
    <xf borderId="0" fillId="6" fontId="15" numFmtId="2" xfId="0" applyAlignment="1" applyFill="1" applyFont="1" applyNumberFormat="1">
      <alignment vertical="bottom"/>
    </xf>
    <xf borderId="0" fillId="7" fontId="15" numFmtId="2" xfId="0" applyAlignment="1" applyFill="1" applyFont="1" applyNumberFormat="1">
      <alignment vertical="bottom"/>
    </xf>
    <xf borderId="16" fillId="0" fontId="1" numFmtId="2" xfId="0" applyAlignment="1" applyBorder="1" applyFont="1" applyNumberFormat="1">
      <alignment readingOrder="0" shrinkToFit="0" wrapText="1"/>
    </xf>
    <xf borderId="20" fillId="0" fontId="1" numFmtId="2" xfId="0" applyBorder="1" applyFont="1" applyNumberFormat="1"/>
    <xf borderId="17" fillId="0" fontId="1" numFmtId="2" xfId="0" applyBorder="1" applyFont="1" applyNumberFormat="1"/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" xfId="0" applyAlignment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readingOrder="0" shrinkToFit="0" wrapText="0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4" fontId="16" numFmtId="0" xfId="0" applyAlignment="1" applyFont="1">
      <alignment horizontal="center" readingOrder="0" vertical="center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164" xfId="0" applyAlignment="1" applyFont="1" applyNumberFormat="1">
      <alignment readingOrder="0" shrinkToFit="0" vertical="center" wrapText="1"/>
    </xf>
    <xf borderId="0" fillId="0" fontId="1" numFmtId="164" xfId="0" applyAlignment="1" applyFont="1" applyNumberFormat="1">
      <alignment horizontal="right" vertical="center"/>
    </xf>
    <xf borderId="0" fillId="0" fontId="4" numFmtId="164" xfId="0" applyAlignment="1" applyFont="1" applyNumberFormat="1">
      <alignment horizontal="right" vertical="center"/>
    </xf>
    <xf borderId="0" fillId="0" fontId="1" numFmtId="0" xfId="0" applyAlignment="1" applyFont="1">
      <alignment horizontal="right" readingOrder="0" shrinkToFit="0" vertical="center" wrapText="1"/>
    </xf>
    <xf borderId="0" fillId="4" fontId="17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right" readingOrder="0" shrinkToFit="0" vertical="center" wrapText="1"/>
    </xf>
    <xf borderId="0" fillId="0" fontId="1" numFmtId="0" xfId="0" applyAlignment="1" applyFont="1">
      <alignment horizontal="right" vertical="center"/>
    </xf>
    <xf borderId="0" fillId="0" fontId="1" numFmtId="164" xfId="0" applyAlignment="1" applyFont="1" applyNumberFormat="1">
      <alignment horizontal="righ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vertical="center"/>
    </xf>
    <xf borderId="0" fillId="0" fontId="4" numFmtId="164" xfId="0" applyAlignment="1" applyFont="1" applyNumberFormat="1">
      <alignment horizontal="right" readingOrder="0" vertical="center"/>
    </xf>
    <xf borderId="0" fillId="0" fontId="1" numFmtId="164" xfId="0" applyAlignment="1" applyFont="1" applyNumberFormat="1">
      <alignment horizontal="right" readingOrder="0" shrinkToFit="0" vertical="center" wrapText="1"/>
    </xf>
    <xf borderId="0" fillId="0" fontId="4" numFmtId="0" xfId="0" applyAlignment="1" applyFont="1">
      <alignment readingOrder="0" vertical="center"/>
    </xf>
    <xf borderId="0" fillId="0" fontId="4" numFmtId="164" xfId="0" applyAlignment="1" applyFont="1" applyNumberFormat="1">
      <alignment horizontal="center" readingOrder="0" shrinkToFit="0" vertical="center" wrapText="1"/>
    </xf>
    <xf borderId="15" fillId="0" fontId="4" numFmtId="164" xfId="0" applyAlignment="1" applyBorder="1" applyFont="1" applyNumberFormat="1">
      <alignment horizontal="center" readingOrder="0" shrinkToFit="0" vertical="center" wrapText="1"/>
    </xf>
    <xf borderId="0" fillId="0" fontId="4" numFmtId="164" xfId="0" applyAlignment="1" applyFont="1" applyNumberFormat="1">
      <alignment readingOrder="0" shrinkToFit="0" wrapText="1"/>
    </xf>
    <xf borderId="0" fillId="0" fontId="1" numFmtId="0" xfId="0" applyAlignment="1" applyFont="1">
      <alignment horizontal="left" readingOrder="0" shrinkToFit="0" vertical="center" wrapText="1"/>
    </xf>
    <xf borderId="0" fillId="4" fontId="18" numFmtId="0" xfId="0" applyAlignment="1" applyFont="1">
      <alignment horizontal="center" readingOrder="0" vertical="center"/>
    </xf>
    <xf borderId="0" fillId="0" fontId="15" numFmtId="0" xfId="0" applyAlignment="1" applyFont="1">
      <alignment vertical="bottom"/>
    </xf>
    <xf borderId="0" fillId="4" fontId="19" numFmtId="0" xfId="0" applyAlignment="1" applyFont="1">
      <alignment horizontal="center" shrinkToFit="0" vertical="bottom" wrapText="1"/>
    </xf>
    <xf borderId="0" fillId="0" fontId="15" numFmtId="4" xfId="0" applyAlignment="1" applyFont="1" applyNumberFormat="1">
      <alignment horizontal="center" vertical="center"/>
    </xf>
    <xf borderId="15" fillId="0" fontId="15" numFmtId="4" xfId="0" applyAlignment="1" applyBorder="1" applyFont="1" applyNumberFormat="1">
      <alignment horizontal="center" vertical="center"/>
    </xf>
    <xf borderId="0" fillId="0" fontId="20" numFmtId="164" xfId="0" applyAlignment="1" applyFont="1" applyNumberFormat="1">
      <alignment horizontal="center" readingOrder="0" shrinkToFit="0" vertical="bottom" wrapText="1"/>
    </xf>
    <xf borderId="0" fillId="0" fontId="15" numFmtId="0" xfId="0" applyAlignment="1" applyFont="1">
      <alignment horizontal="right" shrinkToFit="0" vertical="bottom" wrapText="1"/>
    </xf>
    <xf borderId="0" fillId="0" fontId="10" numFmtId="0" xfId="0" applyAlignment="1" applyFont="1">
      <alignment vertical="bottom"/>
    </xf>
    <xf borderId="0" fillId="4" fontId="21" numFmtId="0" xfId="0" applyAlignment="1" applyFont="1">
      <alignment shrinkToFit="0" vertical="bottom" wrapText="1"/>
    </xf>
    <xf borderId="0" fillId="0" fontId="15" numFmtId="4" xfId="0" applyAlignment="1" applyFont="1" applyNumberFormat="1">
      <alignment horizontal="center" shrinkToFit="0" vertical="center" wrapText="1"/>
    </xf>
    <xf borderId="15" fillId="0" fontId="15" numFmtId="4" xfId="0" applyAlignment="1" applyBorder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center" vertical="center"/>
    </xf>
    <xf borderId="15" fillId="0" fontId="15" numFmtId="4" xfId="0" applyAlignment="1" applyBorder="1" applyFont="1" applyNumberFormat="1">
      <alignment horizontal="center" readingOrder="0" shrinkToFit="0" vertical="center" wrapText="1"/>
    </xf>
    <xf borderId="0" fillId="0" fontId="22" numFmtId="0" xfId="0" applyAlignment="1" applyFont="1">
      <alignment horizontal="center" vertical="bottom"/>
    </xf>
    <xf borderId="0" fillId="4" fontId="15" numFmtId="0" xfId="0" applyAlignment="1" applyFont="1">
      <alignment vertical="bottom"/>
    </xf>
    <xf borderId="0" fillId="0" fontId="15" numFmtId="4" xfId="0" applyAlignment="1" applyFont="1" applyNumberFormat="1">
      <alignment horizontal="center" readingOrder="0" shrinkToFit="0" vertical="center" wrapText="1"/>
    </xf>
    <xf borderId="0" fillId="0" fontId="15" numFmtId="165" xfId="0" applyAlignment="1" applyFont="1" applyNumberFormat="1">
      <alignment horizontal="center" vertical="center"/>
    </xf>
    <xf borderId="0" fillId="0" fontId="15" numFmtId="0" xfId="0" applyAlignment="1" applyFont="1">
      <alignment horizontal="right" readingOrder="0" shrinkToFit="0" vertical="bottom" wrapText="1"/>
    </xf>
    <xf borderId="0" fillId="4" fontId="19" numFmtId="0" xfId="0" applyAlignment="1" applyFont="1">
      <alignment horizontal="center" vertical="bottom"/>
    </xf>
    <xf borderId="15" fillId="0" fontId="15" numFmtId="165" xfId="0" applyAlignment="1" applyBorder="1" applyFont="1" applyNumberFormat="1">
      <alignment horizontal="center" vertical="center"/>
    </xf>
    <xf borderId="0" fillId="0" fontId="22" numFmtId="0" xfId="0" applyAlignment="1" applyFont="1">
      <alignment horizontal="center" shrinkToFit="0" vertical="bottom" wrapText="1"/>
    </xf>
    <xf borderId="0" fillId="0" fontId="15" numFmtId="164" xfId="0" applyAlignment="1" applyFont="1" applyNumberFormat="1">
      <alignment horizontal="center" vertical="center"/>
    </xf>
    <xf borderId="15" fillId="0" fontId="15" numFmtId="164" xfId="0" applyAlignment="1" applyBorder="1" applyFont="1" applyNumberFormat="1">
      <alignment horizontal="center" vertical="center"/>
    </xf>
    <xf borderId="0" fillId="0" fontId="15" numFmtId="0" xfId="0" applyAlignment="1" applyFont="1">
      <alignment horizontal="right" readingOrder="0" vertical="bottom"/>
    </xf>
    <xf borderId="0" fillId="0" fontId="15" numFmtId="0" xfId="0" applyAlignment="1" applyFont="1">
      <alignment vertical="bottom"/>
    </xf>
    <xf borderId="0" fillId="4" fontId="21" numFmtId="0" xfId="0" applyAlignment="1" applyFont="1">
      <alignment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4" fontId="21" numFmtId="0" xfId="0" applyAlignment="1" applyFont="1">
      <alignment shrinkToFit="0" vertical="bottom" wrapText="1"/>
    </xf>
    <xf borderId="0" fillId="4" fontId="21" numFmtId="0" xfId="0" applyAlignment="1" applyFont="1">
      <alignment shrinkToFit="0" vertical="bottom" wrapText="1"/>
    </xf>
    <xf borderId="0" fillId="0" fontId="15" numFmtId="164" xfId="0" applyAlignment="1" applyFont="1" applyNumberFormat="1">
      <alignment horizontal="center" readingOrder="0" vertical="center"/>
    </xf>
    <xf borderId="15" fillId="0" fontId="15" numFmtId="164" xfId="0" applyAlignment="1" applyBorder="1" applyFont="1" applyNumberFormat="1">
      <alignment horizontal="center" readingOrder="0" vertical="center"/>
    </xf>
    <xf borderId="0" fillId="4" fontId="21" numFmtId="0" xfId="0" applyAlignment="1" applyFont="1">
      <alignment readingOrder="0" shrinkToFit="0" vertical="bottom" wrapText="1"/>
    </xf>
    <xf borderId="0" fillId="4" fontId="23" numFmtId="0" xfId="0" applyAlignment="1" applyFont="1">
      <alignment shrinkToFit="0" vertical="bottom" wrapText="1"/>
    </xf>
    <xf borderId="0" fillId="4" fontId="23" numFmtId="0" xfId="0" applyAlignment="1" applyFont="1">
      <alignment readingOrder="0" shrinkToFit="0" vertical="bottom" wrapText="1"/>
    </xf>
    <xf borderId="0" fillId="4" fontId="23" numFmtId="0" xfId="0" applyAlignment="1" applyFont="1">
      <alignment shrinkToFit="0" vertical="bottom" wrapText="1"/>
    </xf>
    <xf borderId="0" fillId="0" fontId="22" numFmtId="0" xfId="0" applyAlignment="1" applyFont="1">
      <alignment horizontal="center" shrinkToFit="0" vertical="bottom" wrapText="1"/>
    </xf>
    <xf borderId="0" fillId="4" fontId="15" numFmtId="0" xfId="0" applyAlignment="1" applyFont="1">
      <alignment vertical="bottom"/>
    </xf>
    <xf borderId="0" fillId="4" fontId="15" numFmtId="164" xfId="0" applyAlignment="1" applyFont="1" applyNumberFormat="1">
      <alignment horizontal="center" vertical="center"/>
    </xf>
    <xf borderId="0" fillId="4" fontId="21" numFmtId="164" xfId="0" applyAlignment="1" applyFont="1" applyNumberFormat="1">
      <alignment shrinkToFit="0" vertical="bottom" wrapText="1"/>
    </xf>
    <xf borderId="0" fillId="0" fontId="22" numFmtId="0" xfId="0" applyAlignment="1" applyFont="1">
      <alignment horizontal="center" vertical="bottom"/>
    </xf>
    <xf borderId="0" fillId="0" fontId="15" numFmtId="0" xfId="0" applyAlignment="1" applyFont="1">
      <alignment horizontal="center" readingOrder="0" vertical="center"/>
    </xf>
    <xf borderId="0" fillId="0" fontId="15" numFmtId="164" xfId="0" applyAlignment="1" applyFont="1" applyNumberFormat="1">
      <alignment vertical="bottom"/>
    </xf>
    <xf borderId="0" fillId="0" fontId="10" numFmtId="0" xfId="0" applyAlignment="1" applyFont="1">
      <alignment horizontal="center" vertical="bottom"/>
    </xf>
    <xf borderId="0" fillId="0" fontId="15" numFmtId="0" xfId="0" applyAlignment="1" applyFont="1">
      <alignment readingOrder="0" vertical="bottom"/>
    </xf>
    <xf borderId="0" fillId="4" fontId="21" numFmtId="164" xfId="0" applyAlignment="1" applyFont="1" applyNumberFormat="1">
      <alignment horizontal="center" vertical="center"/>
    </xf>
    <xf borderId="0" fillId="4" fontId="15" numFmtId="164" xfId="0" applyAlignment="1" applyFont="1" applyNumberFormat="1">
      <alignment vertical="bottom"/>
    </xf>
    <xf borderId="0" fillId="4" fontId="19" numFmtId="0" xfId="0" applyAlignment="1" applyFont="1">
      <alignment shrinkToFit="0" vertical="bottom" wrapText="1"/>
    </xf>
    <xf borderId="15" fillId="0" fontId="14" numFmtId="0" xfId="0" applyBorder="1" applyFont="1"/>
    <xf borderId="0" fillId="0" fontId="10" numFmtId="0" xfId="0" applyAlignment="1" applyFont="1">
      <alignment readingOrder="0" vertical="bottom"/>
    </xf>
    <xf borderId="0" fillId="0" fontId="15" numFmtId="0" xfId="0" applyAlignment="1" applyFont="1">
      <alignment readingOrder="0" shrinkToFit="0" vertical="bottom" wrapText="1"/>
    </xf>
    <xf borderId="0" fillId="0" fontId="15" numFmtId="0" xfId="0" applyFont="1"/>
    <xf borderId="0" fillId="0" fontId="15" numFmtId="0" xfId="0" applyFont="1"/>
    <xf borderId="0" fillId="0" fontId="15" numFmtId="0" xfId="0" applyAlignment="1" applyFont="1">
      <alignment readingOrder="0"/>
    </xf>
    <xf borderId="0" fillId="0" fontId="15" numFmtId="0" xfId="0" applyAlignment="1" applyFont="1">
      <alignment readingOrder="0" shrinkToFit="0" wrapText="1"/>
    </xf>
    <xf borderId="0" fillId="0" fontId="10" numFmtId="0" xfId="0" applyAlignment="1" applyFont="1">
      <alignment horizontal="center" readingOrder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horizontal="center" vertical="center"/>
    </xf>
    <xf borderId="0" fillId="0" fontId="24" numFmtId="164" xfId="0" applyAlignment="1" applyFont="1" applyNumberFormat="1">
      <alignment horizontal="center" readingOrder="0" shrinkToFit="0" vertical="bottom" wrapText="1"/>
    </xf>
    <xf borderId="0" fillId="0" fontId="1" numFmtId="164" xfId="0" applyAlignment="1" applyFont="1" applyNumberFormat="1">
      <alignment vertical="center"/>
    </xf>
    <xf borderId="9" fillId="5" fontId="1" numFmtId="0" xfId="0" applyBorder="1" applyFont="1"/>
    <xf borderId="22" fillId="0" fontId="1" numFmtId="0" xfId="0" applyAlignment="1" applyBorder="1" applyFont="1">
      <alignment readingOrder="0" shrinkToFit="0" wrapText="1"/>
    </xf>
    <xf borderId="22" fillId="0" fontId="14" numFmtId="0" xfId="0" applyBorder="1" applyFont="1"/>
    <xf borderId="10" fillId="0" fontId="14" numFmtId="0" xfId="0" applyBorder="1" applyFont="1"/>
    <xf borderId="0" fillId="0" fontId="1" numFmtId="0" xfId="0" applyAlignment="1" applyFont="1">
      <alignment readingOrder="0" shrinkToFit="0" wrapText="1"/>
    </xf>
    <xf borderId="11" fillId="0" fontId="4" numFmtId="0" xfId="0" applyAlignment="1" applyBorder="1" applyFont="1">
      <alignment readingOrder="0" shrinkToFit="0" vertical="center" wrapText="1"/>
    </xf>
    <xf borderId="18" fillId="0" fontId="4" numFmtId="0" xfId="0" applyAlignment="1" applyBorder="1" applyFont="1">
      <alignment horizontal="center" readingOrder="0" shrinkToFit="0" vertical="center" wrapText="1"/>
    </xf>
    <xf borderId="23" fillId="0" fontId="4" numFmtId="0" xfId="0" applyAlignment="1" applyBorder="1" applyFont="1">
      <alignment horizontal="center" readingOrder="0" shrinkToFit="0" vertical="center" wrapText="1"/>
    </xf>
    <xf borderId="19" fillId="0" fontId="4" numFmtId="0" xfId="0" applyAlignment="1" applyBorder="1" applyFont="1">
      <alignment horizontal="center" readingOrder="0" shrinkToFit="0" vertical="center" wrapText="1"/>
    </xf>
    <xf borderId="18" fillId="0" fontId="4" numFmtId="0" xfId="0" applyAlignment="1" applyBorder="1" applyFont="1">
      <alignment readingOrder="0" shrinkToFit="0" vertical="center" wrapText="1"/>
    </xf>
    <xf borderId="18" fillId="0" fontId="4" numFmtId="0" xfId="0" applyAlignment="1" applyBorder="1" applyFont="1">
      <alignment horizontal="center" readingOrder="0" shrinkToFit="0" wrapText="1"/>
    </xf>
    <xf borderId="21" fillId="0" fontId="4" numFmtId="0" xfId="0" applyAlignment="1" applyBorder="1" applyFont="1">
      <alignment horizontal="center" readingOrder="0" shrinkToFit="0" wrapText="1"/>
    </xf>
    <xf borderId="11" fillId="0" fontId="15" numFmtId="0" xfId="0" applyAlignment="1" applyBorder="1" applyFont="1">
      <alignment horizontal="center" readingOrder="0" shrinkToFit="0" vertical="center" wrapText="1"/>
    </xf>
    <xf borderId="24" fillId="5" fontId="1" numFmtId="0" xfId="0" applyAlignment="1" applyBorder="1" applyFont="1">
      <alignment horizontal="center" readingOrder="0" vertical="center"/>
    </xf>
    <xf borderId="15" fillId="0" fontId="1" numFmtId="2" xfId="0" applyAlignment="1" applyBorder="1" applyFont="1" applyNumberFormat="1">
      <alignment horizontal="center" readingOrder="0" vertical="center"/>
    </xf>
    <xf borderId="14" fillId="0" fontId="15" numFmtId="0" xfId="0" applyAlignment="1" applyBorder="1" applyFont="1">
      <alignment horizontal="center" readingOrder="0" shrinkToFit="0" vertical="center" wrapText="1"/>
    </xf>
    <xf borderId="14" fillId="0" fontId="10" numFmtId="0" xfId="0" applyAlignment="1" applyBorder="1" applyFont="1">
      <alignment readingOrder="0"/>
    </xf>
    <xf borderId="14" fillId="0" fontId="1" numFmtId="0" xfId="0" applyAlignment="1" applyBorder="1" applyFont="1">
      <alignment vertical="center"/>
    </xf>
    <xf borderId="14" fillId="0" fontId="1" numFmtId="0" xfId="0" applyAlignment="1" applyBorder="1" applyFont="1">
      <alignment horizontal="center" readingOrder="0" shrinkToFit="0" vertical="center" wrapText="1"/>
    </xf>
    <xf borderId="24" fillId="0" fontId="1" numFmtId="0" xfId="0" applyAlignment="1" applyBorder="1" applyFont="1">
      <alignment vertical="center"/>
    </xf>
    <xf borderId="15" fillId="0" fontId="1" numFmtId="0" xfId="0" applyAlignment="1" applyBorder="1" applyFont="1">
      <alignment horizontal="center" readingOrder="0" vertical="center"/>
    </xf>
    <xf borderId="16" fillId="0" fontId="10" numFmtId="0" xfId="0" applyAlignment="1" applyBorder="1" applyFont="1">
      <alignment readingOrder="0"/>
    </xf>
    <xf borderId="20" fillId="0" fontId="1" numFmtId="0" xfId="0" applyAlignment="1" applyBorder="1" applyFont="1">
      <alignment horizontal="center" readingOrder="0" shrinkToFit="0" vertical="center" wrapText="1"/>
    </xf>
    <xf borderId="25" fillId="5" fontId="1" numFmtId="0" xfId="0" applyAlignment="1" applyBorder="1" applyFont="1">
      <alignment horizontal="center" readingOrder="0" vertical="center"/>
    </xf>
    <xf borderId="17" fillId="0" fontId="1" numFmtId="0" xfId="0" applyAlignment="1" applyBorder="1" applyFont="1">
      <alignment horizontal="center" readingOrder="0" vertical="center"/>
    </xf>
    <xf borderId="25" fillId="0" fontId="1" numFmtId="0" xfId="0" applyAlignment="1" applyBorder="1" applyFont="1">
      <alignment vertical="center"/>
    </xf>
    <xf borderId="20" fillId="0" fontId="1" numFmtId="164" xfId="0" applyAlignment="1" applyBorder="1" applyFont="1" applyNumberFormat="1">
      <alignment horizontal="center" vertical="center"/>
    </xf>
    <xf borderId="17" fillId="0" fontId="1" numFmtId="2" xfId="0" applyAlignment="1" applyBorder="1" applyFont="1" applyNumberFormat="1">
      <alignment horizontal="center" vertical="center"/>
    </xf>
    <xf borderId="11" fillId="0" fontId="4" numFmtId="0" xfId="0" applyBorder="1" applyFont="1"/>
    <xf borderId="13" fillId="0" fontId="4" numFmtId="0" xfId="0" applyAlignment="1" applyBorder="1" applyFont="1">
      <alignment readingOrder="0"/>
    </xf>
    <xf borderId="12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18" fillId="0" fontId="10" numFmtId="0" xfId="0" applyAlignment="1" applyBorder="1" applyFont="1">
      <alignment readingOrder="0" shrinkToFit="0" vertical="bottom" wrapText="1"/>
    </xf>
    <xf borderId="21" fillId="0" fontId="14" numFmtId="0" xfId="0" applyBorder="1" applyFont="1"/>
    <xf borderId="14" fillId="0" fontId="1" numFmtId="0" xfId="0" applyAlignment="1" applyBorder="1" applyFont="1">
      <alignment readingOrder="0" shrinkToFit="0" wrapText="1"/>
    </xf>
    <xf borderId="0" fillId="5" fontId="1" numFmtId="0" xfId="0" applyAlignment="1" applyFont="1">
      <alignment horizontal="center" readingOrder="0" vertical="center"/>
    </xf>
    <xf borderId="14" fillId="0" fontId="15" numFmtId="0" xfId="0" applyAlignment="1" applyBorder="1" applyFont="1">
      <alignment readingOrder="0" shrinkToFit="0" vertical="center" wrapText="1"/>
    </xf>
    <xf borderId="0" fillId="5" fontId="1" numFmtId="3" xfId="0" applyAlignment="1" applyFont="1" applyNumberFormat="1">
      <alignment horizontal="center" readingOrder="0" vertical="center"/>
    </xf>
    <xf borderId="16" fillId="0" fontId="14" numFmtId="0" xfId="0" applyBorder="1" applyFont="1"/>
    <xf borderId="20" fillId="0" fontId="14" numFmtId="0" xfId="0" applyBorder="1" applyFont="1"/>
    <xf borderId="17" fillId="0" fontId="14" numFmtId="0" xfId="0" applyBorder="1" applyFont="1"/>
    <xf borderId="14" fillId="0" fontId="1" numFmtId="0" xfId="0" applyAlignment="1" applyBorder="1" applyFont="1">
      <alignment readingOrder="0"/>
    </xf>
    <xf borderId="14" fillId="0" fontId="25" numFmtId="0" xfId="0" applyAlignment="1" applyBorder="1" applyFont="1">
      <alignment readingOrder="0" shrinkToFit="0" wrapText="1"/>
    </xf>
    <xf borderId="0" fillId="5" fontId="4" numFmtId="0" xfId="0" applyAlignment="1" applyFont="1">
      <alignment horizontal="center" readingOrder="0" vertical="center"/>
    </xf>
    <xf borderId="14" fillId="0" fontId="26" numFmtId="0" xfId="0" applyAlignment="1" applyBorder="1" applyFont="1">
      <alignment horizontal="left" readingOrder="0"/>
    </xf>
    <xf borderId="14" fillId="0" fontId="25" numFmtId="0" xfId="0" applyAlignment="1" applyBorder="1" applyFont="1">
      <alignment readingOrder="0" vertical="center"/>
    </xf>
    <xf borderId="0" fillId="0" fontId="15" numFmtId="0" xfId="0" applyAlignment="1" applyFont="1">
      <alignment shrinkToFit="0" vertical="bottom" wrapText="1"/>
    </xf>
    <xf borderId="0" fillId="0" fontId="15" numFmtId="1" xfId="0" applyAlignment="1" applyFont="1" applyNumberFormat="1">
      <alignment shrinkToFit="0" vertical="bottom" wrapText="1"/>
    </xf>
    <xf borderId="0" fillId="0" fontId="15" numFmtId="0" xfId="0" applyAlignment="1" applyFont="1">
      <alignment horizontal="right" shrinkToFit="0" vertical="bottom" wrapText="1"/>
    </xf>
    <xf borderId="0" fillId="0" fontId="15" numFmtId="2" xfId="0" applyAlignment="1" applyFont="1" applyNumberFormat="1">
      <alignment shrinkToFit="0" vertical="bottom" wrapText="1"/>
    </xf>
    <xf borderId="0" fillId="0" fontId="15" numFmtId="1" xfId="0" applyAlignment="1" applyFont="1" applyNumberFormat="1">
      <alignment horizontal="right" shrinkToFit="0" vertical="bottom" wrapText="1"/>
    </xf>
    <xf borderId="0" fillId="0" fontId="1" numFmtId="0" xfId="0" applyFont="1"/>
    <xf borderId="0" fillId="0" fontId="1" numFmtId="166" xfId="0" applyFont="1" applyNumberFormat="1"/>
    <xf borderId="0" fillId="0" fontId="15" numFmtId="164" xfId="0" applyAlignment="1" applyFont="1" applyNumberFormat="1">
      <alignment shrinkToFit="0" vertical="bottom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center" readingOrder="0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shrinkToFit="0" vertical="bottom" wrapText="1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horizontal="center" vertical="bottom"/>
    </xf>
    <xf borderId="0" fillId="4" fontId="27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</xdr:row>
      <xdr:rowOff>85725</xdr:rowOff>
    </xdr:from>
    <xdr:ext cx="2524125" cy="542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20</xdr:row>
      <xdr:rowOff>485775</xdr:rowOff>
    </xdr:from>
    <xdr:ext cx="3333750" cy="552450"/>
    <xdr:grpSp>
      <xdr:nvGrpSpPr>
        <xdr:cNvPr id="2" name="Shape 2" title="Рисунок"/>
        <xdr:cNvGrpSpPr/>
      </xdr:nvGrpSpPr>
      <xdr:grpSpPr>
        <a:xfrm>
          <a:off x="3701900" y="3781425"/>
          <a:ext cx="3313800" cy="537600"/>
          <a:chOff x="3701900" y="3781425"/>
          <a:chExt cx="3313800" cy="537600"/>
        </a:xfrm>
      </xdr:grpSpPr>
      <xdr:sp>
        <xdr:nvSpPr>
          <xdr:cNvPr id="3" name="Shape 3"/>
          <xdr:cNvSpPr/>
        </xdr:nvSpPr>
        <xdr:spPr>
          <a:xfrm>
            <a:off x="3701900" y="3781425"/>
            <a:ext cx="3313800" cy="537600"/>
          </a:xfrm>
          <a:prstGeom prst="roundRect">
            <a:avLst>
              <a:gd fmla="val 16667" name="adj"/>
            </a:avLst>
          </a:prstGeom>
          <a:solidFill>
            <a:srgbClr val="6AA84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3930800" y="3851175"/>
            <a:ext cx="2856000" cy="398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Обновить страницу для клиента </a:t>
            </a:r>
            <a:endParaRPr sz="1400"/>
          </a:p>
        </xdr:txBody>
      </xdr: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7.75"/>
    <col customWidth="1" min="2" max="2" width="20.88"/>
    <col customWidth="1" min="3" max="3" width="39.5"/>
    <col customWidth="1" min="4" max="4" width="34.88"/>
    <col customWidth="1" min="5" max="5" width="27.0"/>
    <col customWidth="1" min="6" max="6" width="14.5"/>
    <col customWidth="1" min="7" max="7" width="24.25"/>
    <col customWidth="1" min="8" max="8" width="23.75"/>
    <col customWidth="1" min="9" max="9" width="27.5"/>
  </cols>
  <sheetData>
    <row r="1">
      <c r="A1" s="1"/>
      <c r="B1" s="2"/>
      <c r="C1" s="3"/>
      <c r="D1" s="3"/>
      <c r="E1" s="4"/>
      <c r="F1" s="1"/>
      <c r="G1" s="5"/>
      <c r="H1" s="6"/>
      <c r="I1" s="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3"/>
      <c r="D2" s="3"/>
      <c r="E2" s="4"/>
      <c r="F2" s="1"/>
      <c r="G2" s="7"/>
      <c r="H2" s="7"/>
      <c r="I2" s="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3"/>
      <c r="D3" s="8"/>
      <c r="E3" s="4"/>
      <c r="F3" s="1"/>
      <c r="G3" s="9"/>
      <c r="H3" s="10"/>
      <c r="I3" s="10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/>
      <c r="C4" s="3"/>
      <c r="D4" s="3"/>
      <c r="E4" s="4"/>
      <c r="F4" s="1"/>
      <c r="G4" s="5"/>
      <c r="H4" s="6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8.25" customHeight="1">
      <c r="A5" s="11"/>
      <c r="B5" s="12" t="s">
        <v>0</v>
      </c>
      <c r="D5" s="13" t="str">
        <f>'Sales (Итоги оценки)'!C4</f>
        <v>P2P платформа</v>
      </c>
      <c r="F5" s="12"/>
      <c r="G5" s="7"/>
      <c r="H5" s="7"/>
      <c r="I5" s="7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38.25" customHeight="1">
      <c r="A6" s="11"/>
      <c r="B6" s="15" t="s">
        <v>1</v>
      </c>
      <c r="F6" s="16"/>
      <c r="G6" s="10"/>
      <c r="H6" s="10"/>
      <c r="I6" s="10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31.5" customHeight="1">
      <c r="A7" s="17"/>
      <c r="B7" s="15" t="s">
        <v>2</v>
      </c>
      <c r="F7" s="18"/>
      <c r="G7" s="19"/>
      <c r="H7" s="19"/>
      <c r="I7" s="19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1"/>
    </row>
    <row r="8">
      <c r="A8" s="22"/>
      <c r="B8" s="23" t="s">
        <v>3</v>
      </c>
      <c r="C8" s="3"/>
      <c r="D8" s="3"/>
      <c r="E8" s="1"/>
      <c r="F8" s="1"/>
      <c r="G8" s="1"/>
      <c r="H8" s="10"/>
      <c r="I8" s="1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2"/>
      <c r="B9" s="24" t="s">
        <v>4</v>
      </c>
      <c r="C9" s="25" t="s">
        <v>5</v>
      </c>
      <c r="D9" s="26" t="s">
        <v>6</v>
      </c>
      <c r="E9" s="1"/>
      <c r="F9" s="1"/>
      <c r="G9" s="1"/>
      <c r="H9" s="10"/>
      <c r="I9" s="10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2"/>
      <c r="B10" s="27">
        <v>8.0</v>
      </c>
      <c r="C10" s="28">
        <v>2182.0</v>
      </c>
      <c r="D10" s="29">
        <v>92367.0</v>
      </c>
      <c r="E10" s="1"/>
      <c r="F10" s="1"/>
      <c r="G10" s="1"/>
      <c r="H10" s="19"/>
      <c r="I10" s="1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2"/>
      <c r="B11" s="1"/>
      <c r="C11" s="3"/>
      <c r="D11" s="3"/>
      <c r="E11" s="1"/>
      <c r="F11" s="1"/>
      <c r="G11" s="1"/>
      <c r="H11" s="10"/>
      <c r="I11" s="1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2"/>
      <c r="B12" s="24" t="s">
        <v>7</v>
      </c>
      <c r="C12" s="30" t="s">
        <v>8</v>
      </c>
      <c r="D12" s="31" t="s">
        <v>9</v>
      </c>
      <c r="E12" s="1"/>
      <c r="F12" s="7"/>
      <c r="G12" s="1"/>
      <c r="H12" s="10"/>
      <c r="I12" s="1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2"/>
      <c r="B13" s="32" t="s">
        <v>10</v>
      </c>
      <c r="C13" s="33">
        <v>3.0</v>
      </c>
      <c r="D13" s="34">
        <v>119.0</v>
      </c>
      <c r="E13" s="1"/>
      <c r="F13" s="10"/>
      <c r="G13" s="1"/>
      <c r="H13" s="10"/>
      <c r="I13" s="1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2"/>
      <c r="B14" s="35" t="s">
        <v>11</v>
      </c>
      <c r="C14" s="36">
        <v>10.2</v>
      </c>
      <c r="D14" s="37">
        <v>407.0</v>
      </c>
      <c r="E14" s="1"/>
      <c r="F14" s="10"/>
      <c r="G14" s="1"/>
      <c r="H14" s="10"/>
      <c r="I14" s="10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2"/>
      <c r="B15" s="32" t="s">
        <v>11</v>
      </c>
      <c r="C15" s="33">
        <v>10.9</v>
      </c>
      <c r="D15" s="34">
        <v>436.0</v>
      </c>
      <c r="E15" s="1"/>
      <c r="F15" s="10"/>
      <c r="G15" s="1"/>
      <c r="H15" s="10"/>
      <c r="I15" s="10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2"/>
      <c r="B16" s="35" t="s">
        <v>12</v>
      </c>
      <c r="C16" s="36">
        <v>12.7</v>
      </c>
      <c r="D16" s="37">
        <v>509.0</v>
      </c>
      <c r="E16" s="1"/>
      <c r="F16" s="10"/>
      <c r="G16" s="1"/>
      <c r="H16" s="10"/>
      <c r="I16" s="10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2"/>
      <c r="B17" s="32" t="s">
        <v>13</v>
      </c>
      <c r="C17" s="33">
        <v>3.8</v>
      </c>
      <c r="D17" s="34">
        <v>153.0</v>
      </c>
      <c r="E17" s="1"/>
      <c r="F17" s="1"/>
      <c r="G17" s="1"/>
      <c r="H17" s="10"/>
      <c r="I17" s="10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2"/>
      <c r="B18" s="35" t="s">
        <v>14</v>
      </c>
      <c r="C18" s="36">
        <v>4.4</v>
      </c>
      <c r="D18" s="37">
        <v>176.0</v>
      </c>
      <c r="E18" s="1"/>
      <c r="F18" s="1"/>
      <c r="G18" s="1"/>
      <c r="H18" s="10"/>
      <c r="I18" s="10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2"/>
      <c r="B19" s="32" t="s">
        <v>15</v>
      </c>
      <c r="C19" s="33">
        <v>4.8</v>
      </c>
      <c r="D19" s="34">
        <v>193.0</v>
      </c>
      <c r="E19" s="1"/>
      <c r="F19" s="1"/>
      <c r="G19" s="1"/>
      <c r="H19" s="10"/>
      <c r="I19" s="10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2"/>
      <c r="B20" s="38" t="s">
        <v>16</v>
      </c>
      <c r="C20" s="39">
        <v>4.8</v>
      </c>
      <c r="D20" s="40">
        <v>193.0</v>
      </c>
      <c r="E20" s="1"/>
      <c r="F20" s="1"/>
      <c r="G20" s="1"/>
      <c r="H20" s="10"/>
      <c r="I20" s="10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2"/>
      <c r="B21" s="1"/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2"/>
      <c r="B22" s="1"/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2"/>
      <c r="B23" s="41" t="s">
        <v>14</v>
      </c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2"/>
      <c r="B24" s="24" t="s">
        <v>17</v>
      </c>
      <c r="C24" s="42" t="s">
        <v>18</v>
      </c>
      <c r="D24" s="42" t="s">
        <v>19</v>
      </c>
      <c r="E24" s="31" t="s">
        <v>20</v>
      </c>
      <c r="F24" s="1"/>
      <c r="G24" s="1"/>
      <c r="H24" s="19"/>
      <c r="I24" s="19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2"/>
      <c r="B25" s="32" t="s">
        <v>14</v>
      </c>
      <c r="C25" s="43" t="s">
        <v>21</v>
      </c>
      <c r="D25" s="43" t="s">
        <v>22</v>
      </c>
      <c r="E25" s="34">
        <v>10.0</v>
      </c>
      <c r="F25" s="1"/>
      <c r="G25" s="1"/>
      <c r="H25" s="10"/>
      <c r="I25" s="10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2"/>
      <c r="B26" s="35" t="s">
        <v>14</v>
      </c>
      <c r="C26" s="44" t="s">
        <v>23</v>
      </c>
      <c r="D26" s="44" t="s">
        <v>24</v>
      </c>
      <c r="E26" s="37">
        <v>20.0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2"/>
      <c r="B27" s="32" t="s">
        <v>14</v>
      </c>
      <c r="C27" s="43" t="s">
        <v>25</v>
      </c>
      <c r="D27" s="43" t="s">
        <v>26</v>
      </c>
      <c r="E27" s="34">
        <v>20.0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2"/>
      <c r="B28" s="35" t="s">
        <v>14</v>
      </c>
      <c r="C28" s="44" t="s">
        <v>27</v>
      </c>
      <c r="D28" s="44" t="s">
        <v>28</v>
      </c>
      <c r="E28" s="37">
        <v>20.0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2"/>
      <c r="B29" s="32" t="s">
        <v>14</v>
      </c>
      <c r="C29" s="43" t="s">
        <v>29</v>
      </c>
      <c r="D29" s="43" t="s">
        <v>30</v>
      </c>
      <c r="E29" s="34">
        <v>20.0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2"/>
      <c r="B30" s="35" t="s">
        <v>14</v>
      </c>
      <c r="C30" s="44" t="s">
        <v>31</v>
      </c>
      <c r="D30" s="44" t="s">
        <v>32</v>
      </c>
      <c r="E30" s="37">
        <v>32.0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2"/>
      <c r="B31" s="32" t="s">
        <v>14</v>
      </c>
      <c r="C31" s="43" t="s">
        <v>33</v>
      </c>
      <c r="D31" s="43" t="s">
        <v>34</v>
      </c>
      <c r="E31" s="34">
        <v>32.0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2"/>
      <c r="B32" s="38" t="s">
        <v>14</v>
      </c>
      <c r="C32" s="45" t="s">
        <v>35</v>
      </c>
      <c r="D32" s="46"/>
      <c r="E32" s="40">
        <v>26.0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2"/>
      <c r="B33" s="1"/>
      <c r="C33" s="3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2"/>
      <c r="B34" s="41" t="s">
        <v>10</v>
      </c>
      <c r="C34" s="3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2"/>
      <c r="B35" s="24" t="s">
        <v>17</v>
      </c>
      <c r="C35" s="42" t="s">
        <v>18</v>
      </c>
      <c r="D35" s="42" t="s">
        <v>19</v>
      </c>
      <c r="E35" s="31" t="s">
        <v>20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2"/>
      <c r="B36" s="32" t="s">
        <v>10</v>
      </c>
      <c r="C36" s="43" t="s">
        <v>36</v>
      </c>
      <c r="D36" s="43" t="s">
        <v>37</v>
      </c>
      <c r="E36" s="34">
        <v>16.0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2"/>
      <c r="B37" s="35" t="s">
        <v>10</v>
      </c>
      <c r="C37" s="44" t="s">
        <v>38</v>
      </c>
      <c r="D37" s="44" t="s">
        <v>39</v>
      </c>
      <c r="E37" s="37">
        <v>32.0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2"/>
      <c r="B38" s="32" t="s">
        <v>10</v>
      </c>
      <c r="C38" s="43" t="s">
        <v>40</v>
      </c>
      <c r="D38" s="43" t="s">
        <v>41</v>
      </c>
      <c r="E38" s="34">
        <v>26.0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2"/>
      <c r="B39" s="35" t="s">
        <v>10</v>
      </c>
      <c r="C39" s="44" t="s">
        <v>42</v>
      </c>
      <c r="D39" s="44" t="s">
        <v>43</v>
      </c>
      <c r="E39" s="37">
        <v>7.0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2"/>
      <c r="B40" s="32" t="s">
        <v>10</v>
      </c>
      <c r="C40" s="43" t="s">
        <v>44</v>
      </c>
      <c r="D40" s="43" t="s">
        <v>45</v>
      </c>
      <c r="E40" s="34">
        <v>26.0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2"/>
      <c r="B41" s="38" t="s">
        <v>10</v>
      </c>
      <c r="C41" s="45" t="s">
        <v>46</v>
      </c>
      <c r="D41" s="45" t="s">
        <v>47</v>
      </c>
      <c r="E41" s="40">
        <v>13.0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2"/>
      <c r="B42" s="1"/>
      <c r="C42" s="3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2"/>
      <c r="B43" s="41" t="s">
        <v>11</v>
      </c>
      <c r="C43" s="3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2"/>
      <c r="B44" s="24" t="s">
        <v>17</v>
      </c>
      <c r="C44" s="42" t="s">
        <v>18</v>
      </c>
      <c r="D44" s="42" t="s">
        <v>19</v>
      </c>
      <c r="E44" s="31" t="s">
        <v>20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2"/>
      <c r="B45" s="32" t="s">
        <v>11</v>
      </c>
      <c r="C45" s="43" t="s">
        <v>48</v>
      </c>
      <c r="D45" s="43" t="s">
        <v>49</v>
      </c>
      <c r="E45" s="34">
        <v>32.0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2"/>
      <c r="B46" s="35" t="s">
        <v>11</v>
      </c>
      <c r="C46" s="44" t="s">
        <v>50</v>
      </c>
      <c r="D46" s="44" t="s">
        <v>51</v>
      </c>
      <c r="E46" s="37">
        <v>32.0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2"/>
      <c r="B47" s="32" t="s">
        <v>11</v>
      </c>
      <c r="C47" s="43" t="s">
        <v>52</v>
      </c>
      <c r="D47" s="43" t="s">
        <v>53</v>
      </c>
      <c r="E47" s="34">
        <v>32.0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2"/>
      <c r="B48" s="35" t="s">
        <v>11</v>
      </c>
      <c r="C48" s="44" t="s">
        <v>54</v>
      </c>
      <c r="D48" s="44" t="s">
        <v>55</v>
      </c>
      <c r="E48" s="37">
        <v>20.0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2"/>
      <c r="B49" s="32" t="s">
        <v>11</v>
      </c>
      <c r="C49" s="43" t="s">
        <v>56</v>
      </c>
      <c r="D49" s="43" t="s">
        <v>57</v>
      </c>
      <c r="E49" s="34">
        <v>26.0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2"/>
      <c r="B50" s="35" t="s">
        <v>11</v>
      </c>
      <c r="C50" s="44" t="s">
        <v>58</v>
      </c>
      <c r="D50" s="44" t="s">
        <v>59</v>
      </c>
      <c r="E50" s="37">
        <v>39.0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2"/>
      <c r="B51" s="32" t="s">
        <v>11</v>
      </c>
      <c r="C51" s="43" t="s">
        <v>60</v>
      </c>
      <c r="D51" s="43" t="s">
        <v>61</v>
      </c>
      <c r="E51" s="34">
        <v>32.0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2"/>
      <c r="B52" s="35" t="s">
        <v>11</v>
      </c>
      <c r="C52" s="44" t="s">
        <v>56</v>
      </c>
      <c r="D52" s="44" t="s">
        <v>62</v>
      </c>
      <c r="E52" s="37">
        <v>20.0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2"/>
      <c r="B53" s="32" t="s">
        <v>11</v>
      </c>
      <c r="C53" s="43" t="s">
        <v>63</v>
      </c>
      <c r="D53" s="43" t="s">
        <v>64</v>
      </c>
      <c r="E53" s="34">
        <v>49.0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2"/>
      <c r="B54" s="35" t="s">
        <v>11</v>
      </c>
      <c r="C54" s="44" t="s">
        <v>65</v>
      </c>
      <c r="D54" s="44" t="s">
        <v>66</v>
      </c>
      <c r="E54" s="37">
        <v>49.0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2"/>
      <c r="B55" s="32" t="s">
        <v>11</v>
      </c>
      <c r="C55" s="43" t="s">
        <v>67</v>
      </c>
      <c r="D55" s="43" t="s">
        <v>68</v>
      </c>
      <c r="E55" s="34">
        <v>52.0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2"/>
      <c r="B56" s="35" t="s">
        <v>11</v>
      </c>
      <c r="C56" s="44" t="s">
        <v>69</v>
      </c>
      <c r="D56" s="44" t="s">
        <v>70</v>
      </c>
      <c r="E56" s="37">
        <v>52.0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2"/>
      <c r="B57" s="47"/>
      <c r="C57" s="43" t="s">
        <v>71</v>
      </c>
      <c r="D57" s="48"/>
      <c r="E57" s="34">
        <v>0.0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2"/>
      <c r="B58" s="35" t="s">
        <v>11</v>
      </c>
      <c r="C58" s="44" t="s">
        <v>72</v>
      </c>
      <c r="D58" s="44" t="s">
        <v>73</v>
      </c>
      <c r="E58" s="37">
        <v>10.0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2"/>
      <c r="B59" s="32" t="s">
        <v>11</v>
      </c>
      <c r="C59" s="43" t="s">
        <v>58</v>
      </c>
      <c r="D59" s="43" t="s">
        <v>74</v>
      </c>
      <c r="E59" s="34">
        <v>13.0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2"/>
      <c r="B60" s="49"/>
      <c r="C60" s="44" t="s">
        <v>75</v>
      </c>
      <c r="D60" s="50"/>
      <c r="E60" s="37">
        <v>0.0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2"/>
      <c r="B61" s="32" t="s">
        <v>11</v>
      </c>
      <c r="C61" s="43" t="s">
        <v>56</v>
      </c>
      <c r="D61" s="43" t="s">
        <v>76</v>
      </c>
      <c r="E61" s="34">
        <v>13.0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2"/>
      <c r="B62" s="35" t="s">
        <v>11</v>
      </c>
      <c r="C62" s="44" t="s">
        <v>58</v>
      </c>
      <c r="D62" s="44" t="s">
        <v>77</v>
      </c>
      <c r="E62" s="37">
        <v>32.0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2"/>
      <c r="B63" s="32" t="s">
        <v>11</v>
      </c>
      <c r="C63" s="43" t="s">
        <v>78</v>
      </c>
      <c r="D63" s="43" t="s">
        <v>79</v>
      </c>
      <c r="E63" s="34">
        <v>32.0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2"/>
      <c r="B64" s="49"/>
      <c r="C64" s="44" t="s">
        <v>80</v>
      </c>
      <c r="D64" s="50"/>
      <c r="E64" s="37">
        <v>0.0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2"/>
      <c r="B65" s="32" t="s">
        <v>11</v>
      </c>
      <c r="C65" s="43" t="s">
        <v>56</v>
      </c>
      <c r="D65" s="43" t="s">
        <v>81</v>
      </c>
      <c r="E65" s="34">
        <v>13.0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2"/>
      <c r="B66" s="35" t="s">
        <v>11</v>
      </c>
      <c r="C66" s="44" t="s">
        <v>82</v>
      </c>
      <c r="D66" s="44" t="s">
        <v>83</v>
      </c>
      <c r="E66" s="37">
        <v>20.0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2"/>
      <c r="B67" s="47"/>
      <c r="C67" s="43" t="s">
        <v>84</v>
      </c>
      <c r="D67" s="48"/>
      <c r="E67" s="34">
        <v>0.0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2"/>
      <c r="B68" s="35" t="s">
        <v>11</v>
      </c>
      <c r="C68" s="44" t="s">
        <v>85</v>
      </c>
      <c r="D68" s="44" t="s">
        <v>86</v>
      </c>
      <c r="E68" s="37">
        <v>10.0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2"/>
      <c r="B69" s="32" t="s">
        <v>11</v>
      </c>
      <c r="C69" s="43" t="s">
        <v>87</v>
      </c>
      <c r="D69" s="43" t="s">
        <v>88</v>
      </c>
      <c r="E69" s="34">
        <v>10.0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2"/>
      <c r="B70" s="35" t="s">
        <v>11</v>
      </c>
      <c r="C70" s="44" t="s">
        <v>89</v>
      </c>
      <c r="D70" s="44" t="s">
        <v>90</v>
      </c>
      <c r="E70" s="37">
        <v>10.0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2"/>
      <c r="B71" s="32" t="s">
        <v>11</v>
      </c>
      <c r="C71" s="43" t="s">
        <v>91</v>
      </c>
      <c r="D71" s="43" t="s">
        <v>92</v>
      </c>
      <c r="E71" s="34">
        <v>7.0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2"/>
      <c r="B72" s="35" t="s">
        <v>11</v>
      </c>
      <c r="C72" s="44" t="s">
        <v>93</v>
      </c>
      <c r="D72" s="44" t="s">
        <v>94</v>
      </c>
      <c r="E72" s="37">
        <v>20.0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2"/>
      <c r="B73" s="32" t="s">
        <v>11</v>
      </c>
      <c r="C73" s="43" t="s">
        <v>95</v>
      </c>
      <c r="D73" s="43" t="s">
        <v>96</v>
      </c>
      <c r="E73" s="34">
        <v>10.0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2"/>
      <c r="B74" s="35" t="s">
        <v>11</v>
      </c>
      <c r="C74" s="44" t="s">
        <v>97</v>
      </c>
      <c r="D74" s="44" t="s">
        <v>98</v>
      </c>
      <c r="E74" s="37">
        <v>20.0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2"/>
      <c r="B75" s="32" t="s">
        <v>11</v>
      </c>
      <c r="C75" s="43" t="s">
        <v>99</v>
      </c>
      <c r="D75" s="43" t="s">
        <v>100</v>
      </c>
      <c r="E75" s="34">
        <v>13.0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2"/>
      <c r="B76" s="35" t="s">
        <v>11</v>
      </c>
      <c r="C76" s="44" t="s">
        <v>101</v>
      </c>
      <c r="D76" s="44" t="s">
        <v>102</v>
      </c>
      <c r="E76" s="37">
        <v>32.0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2"/>
      <c r="B77" s="32" t="s">
        <v>11</v>
      </c>
      <c r="C77" s="43" t="s">
        <v>103</v>
      </c>
      <c r="D77" s="43" t="s">
        <v>104</v>
      </c>
      <c r="E77" s="34">
        <v>20.0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2"/>
      <c r="B78" s="35" t="s">
        <v>11</v>
      </c>
      <c r="C78" s="44" t="s">
        <v>105</v>
      </c>
      <c r="D78" s="44" t="s">
        <v>106</v>
      </c>
      <c r="E78" s="37">
        <v>32.0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2"/>
      <c r="B79" s="32" t="s">
        <v>11</v>
      </c>
      <c r="C79" s="43" t="s">
        <v>107</v>
      </c>
      <c r="D79" s="43" t="s">
        <v>108</v>
      </c>
      <c r="E79" s="34">
        <v>42.0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2"/>
      <c r="B80" s="35" t="s">
        <v>11</v>
      </c>
      <c r="C80" s="44" t="s">
        <v>109</v>
      </c>
      <c r="D80" s="44" t="s">
        <v>110</v>
      </c>
      <c r="E80" s="37">
        <v>32.0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2"/>
      <c r="B81" s="32" t="s">
        <v>11</v>
      </c>
      <c r="C81" s="43" t="s">
        <v>111</v>
      </c>
      <c r="D81" s="43" t="s">
        <v>112</v>
      </c>
      <c r="E81" s="34">
        <v>10.0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2"/>
      <c r="B82" s="38" t="s">
        <v>11</v>
      </c>
      <c r="C82" s="45" t="s">
        <v>113</v>
      </c>
      <c r="D82" s="45" t="s">
        <v>114</v>
      </c>
      <c r="E82" s="40">
        <v>20.0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2"/>
      <c r="B83" s="1"/>
      <c r="C83" s="3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2"/>
      <c r="B84" s="41" t="s">
        <v>12</v>
      </c>
      <c r="C84" s="3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2"/>
      <c r="B85" s="24" t="s">
        <v>17</v>
      </c>
      <c r="C85" s="42" t="s">
        <v>18</v>
      </c>
      <c r="D85" s="42" t="s">
        <v>19</v>
      </c>
      <c r="E85" s="31" t="s">
        <v>20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2"/>
      <c r="B86" s="32" t="s">
        <v>12</v>
      </c>
      <c r="C86" s="43" t="s">
        <v>115</v>
      </c>
      <c r="D86" s="43" t="s">
        <v>116</v>
      </c>
      <c r="E86" s="34">
        <v>52.0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2"/>
      <c r="B87" s="49"/>
      <c r="C87" s="44" t="s">
        <v>117</v>
      </c>
      <c r="D87" s="50"/>
      <c r="E87" s="37">
        <v>0.0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2"/>
      <c r="B88" s="32" t="s">
        <v>12</v>
      </c>
      <c r="C88" s="43" t="s">
        <v>118</v>
      </c>
      <c r="D88" s="43" t="s">
        <v>119</v>
      </c>
      <c r="E88" s="34">
        <v>13.0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2"/>
      <c r="B89" s="35" t="s">
        <v>12</v>
      </c>
      <c r="C89" s="44" t="s">
        <v>120</v>
      </c>
      <c r="D89" s="44" t="s">
        <v>121</v>
      </c>
      <c r="E89" s="37">
        <v>13.0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2"/>
      <c r="B90" s="32" t="s">
        <v>12</v>
      </c>
      <c r="C90" s="43" t="s">
        <v>122</v>
      </c>
      <c r="D90" s="43" t="s">
        <v>123</v>
      </c>
      <c r="E90" s="34">
        <v>20.0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2"/>
      <c r="B91" s="49"/>
      <c r="C91" s="44" t="s">
        <v>124</v>
      </c>
      <c r="D91" s="50"/>
      <c r="E91" s="37">
        <v>0.0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2"/>
      <c r="B92" s="32" t="s">
        <v>12</v>
      </c>
      <c r="C92" s="43" t="s">
        <v>125</v>
      </c>
      <c r="D92" s="43" t="s">
        <v>126</v>
      </c>
      <c r="E92" s="34">
        <v>20.0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35" t="s">
        <v>12</v>
      </c>
      <c r="C93" s="44" t="s">
        <v>127</v>
      </c>
      <c r="D93" s="44" t="s">
        <v>128</v>
      </c>
      <c r="E93" s="37">
        <v>32.0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32" t="s">
        <v>12</v>
      </c>
      <c r="C94" s="43" t="s">
        <v>129</v>
      </c>
      <c r="D94" s="43" t="s">
        <v>130</v>
      </c>
      <c r="E94" s="34">
        <v>58.0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35" t="s">
        <v>12</v>
      </c>
      <c r="C95" s="44" t="s">
        <v>131</v>
      </c>
      <c r="D95" s="44" t="s">
        <v>132</v>
      </c>
      <c r="E95" s="37">
        <v>32.0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32" t="s">
        <v>12</v>
      </c>
      <c r="C96" s="43" t="s">
        <v>133</v>
      </c>
      <c r="D96" s="43" t="s">
        <v>134</v>
      </c>
      <c r="E96" s="34">
        <v>97.0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35" t="s">
        <v>12</v>
      </c>
      <c r="C97" s="44" t="s">
        <v>135</v>
      </c>
      <c r="D97" s="44" t="s">
        <v>136</v>
      </c>
      <c r="E97" s="37">
        <v>13.0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32" t="s">
        <v>12</v>
      </c>
      <c r="C98" s="43" t="s">
        <v>137</v>
      </c>
      <c r="D98" s="43" t="s">
        <v>138</v>
      </c>
      <c r="E98" s="34">
        <v>10.0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49"/>
      <c r="C99" s="44" t="s">
        <v>139</v>
      </c>
      <c r="D99" s="50"/>
      <c r="E99" s="37">
        <v>0.0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32" t="s">
        <v>12</v>
      </c>
      <c r="C100" s="43" t="s">
        <v>140</v>
      </c>
      <c r="D100" s="43" t="s">
        <v>141</v>
      </c>
      <c r="E100" s="34">
        <v>64.0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35" t="s">
        <v>12</v>
      </c>
      <c r="C101" s="44" t="s">
        <v>142</v>
      </c>
      <c r="D101" s="44" t="s">
        <v>143</v>
      </c>
      <c r="E101" s="37">
        <v>0.0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32" t="s">
        <v>12</v>
      </c>
      <c r="C102" s="43" t="s">
        <v>144</v>
      </c>
      <c r="D102" s="43" t="s">
        <v>145</v>
      </c>
      <c r="E102" s="34">
        <v>0.0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35" t="s">
        <v>12</v>
      </c>
      <c r="C103" s="44" t="s">
        <v>146</v>
      </c>
      <c r="D103" s="44" t="s">
        <v>147</v>
      </c>
      <c r="E103" s="37">
        <v>0.0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47"/>
      <c r="C104" s="43" t="s">
        <v>148</v>
      </c>
      <c r="D104" s="48"/>
      <c r="E104" s="34">
        <v>0.0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35" t="s">
        <v>12</v>
      </c>
      <c r="C105" s="44" t="s">
        <v>149</v>
      </c>
      <c r="D105" s="44" t="s">
        <v>150</v>
      </c>
      <c r="E105" s="37">
        <v>20.0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32" t="s">
        <v>12</v>
      </c>
      <c r="C106" s="43" t="s">
        <v>105</v>
      </c>
      <c r="D106" s="43" t="s">
        <v>151</v>
      </c>
      <c r="E106" s="34">
        <v>13.0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35" t="s">
        <v>12</v>
      </c>
      <c r="C107" s="44" t="s">
        <v>107</v>
      </c>
      <c r="D107" s="44" t="s">
        <v>152</v>
      </c>
      <c r="E107" s="37">
        <v>13.0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47"/>
      <c r="C108" s="48"/>
      <c r="D108" s="43" t="s">
        <v>153</v>
      </c>
      <c r="E108" s="34">
        <v>0.0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38" t="s">
        <v>12</v>
      </c>
      <c r="C109" s="45" t="s">
        <v>154</v>
      </c>
      <c r="D109" s="46"/>
      <c r="E109" s="40">
        <v>45.0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3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41" t="s">
        <v>16</v>
      </c>
      <c r="C111" s="3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4" t="s">
        <v>17</v>
      </c>
      <c r="C112" s="42" t="s">
        <v>18</v>
      </c>
      <c r="D112" s="42" t="s">
        <v>19</v>
      </c>
      <c r="E112" s="31" t="s">
        <v>20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32" t="s">
        <v>16</v>
      </c>
      <c r="C113" s="43" t="s">
        <v>155</v>
      </c>
      <c r="D113" s="43" t="s">
        <v>156</v>
      </c>
      <c r="E113" s="34">
        <v>193.0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35" t="s">
        <v>16</v>
      </c>
      <c r="C114" s="44" t="s">
        <v>157</v>
      </c>
      <c r="D114" s="44" t="s">
        <v>158</v>
      </c>
      <c r="E114" s="37">
        <v>0.0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51" t="s">
        <v>16</v>
      </c>
      <c r="C115" s="52" t="s">
        <v>159</v>
      </c>
      <c r="D115" s="52" t="s">
        <v>160</v>
      </c>
      <c r="E115" s="53">
        <v>0.0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3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41" t="s">
        <v>161</v>
      </c>
      <c r="C117" s="3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4" t="s">
        <v>17</v>
      </c>
      <c r="C118" s="42" t="s">
        <v>18</v>
      </c>
      <c r="D118" s="42" t="s">
        <v>19</v>
      </c>
      <c r="E118" s="31" t="s">
        <v>20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51" t="s">
        <v>15</v>
      </c>
      <c r="C119" s="52" t="s">
        <v>162</v>
      </c>
      <c r="D119" s="54"/>
      <c r="E119" s="53">
        <v>193.0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3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3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3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3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3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3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3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3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3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3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3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3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3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3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3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3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3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3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3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3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3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3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3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3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3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3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3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3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3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3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3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3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3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3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3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3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3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3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3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3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3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3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3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3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3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3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3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3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3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3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3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3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3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3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3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3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3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3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3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3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3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3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3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3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3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3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3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3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3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3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3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3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3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3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3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3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3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3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3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3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3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3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3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3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3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3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3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3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3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3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3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3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3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3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3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3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3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3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3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3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3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3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3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3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3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3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3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3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3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3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3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3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3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3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3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3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3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3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3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3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3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3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3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3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3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3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3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3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3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3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3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3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3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3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3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3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3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3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3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3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3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3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3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3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3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3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3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3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3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3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3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3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3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3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3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3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3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3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3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3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3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3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3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3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3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3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3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3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3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3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3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3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3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3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3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3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3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3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3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3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3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3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3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3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3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3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3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3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3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3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3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3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3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3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3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3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3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3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3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3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3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3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3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3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3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3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3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3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3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3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3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3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3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3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3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3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3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3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3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3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3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3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3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3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3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3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3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3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3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3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3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3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3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3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3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3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3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3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3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3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3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3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3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3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3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3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3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3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3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3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3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3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3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3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3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3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3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3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3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3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3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3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3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3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3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3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3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3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3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3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3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3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3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3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3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3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3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3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3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3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3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3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3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3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3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3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3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3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3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3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3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3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3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3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3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3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3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3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3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3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3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3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3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3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3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3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3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3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3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3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3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3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3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3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3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3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3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3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3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3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3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3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3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3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3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3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3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3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3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3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3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3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3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3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3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3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3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3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3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3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3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3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3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3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3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3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3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3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3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3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3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3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3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3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3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3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3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3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3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3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3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3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3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3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3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3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3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3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3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3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3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3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3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3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3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3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3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3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3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3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3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3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3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3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3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3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3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3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3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3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3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3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3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3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3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3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3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3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3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3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3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3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3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3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3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3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3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3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3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3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3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3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3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3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3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3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3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3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3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3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3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3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3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3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3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3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3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3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3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3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3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3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3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3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3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3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3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3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3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3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3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3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3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3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3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3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3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3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3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3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3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3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3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3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3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3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3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3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3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3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3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3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3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3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3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3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3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3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3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3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3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3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3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3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3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3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3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3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3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3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3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3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3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3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3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3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3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3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3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3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3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3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3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3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3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3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3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3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3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3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3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3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3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3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3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3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3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3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3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3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3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3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3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3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3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3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3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3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3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3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3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3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3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3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3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3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3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3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3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3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3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3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3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3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3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3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3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3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3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3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3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3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3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3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3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3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3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3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3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3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3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3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3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3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3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3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3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3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3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3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3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3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3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3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3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3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3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3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3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3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3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3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3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3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3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3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3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3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3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3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3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3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3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3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3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3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3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3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3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3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3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3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3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3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3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3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3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3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3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3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3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3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3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3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3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3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3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3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3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3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3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3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3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3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3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3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3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3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3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3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3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3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3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3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3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3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3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3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3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3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3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3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3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3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3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3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3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3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3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3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3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3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3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3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3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3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3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3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3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3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3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3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3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3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3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3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3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3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3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3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3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3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3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3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3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3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3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3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3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3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3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3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3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3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3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3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3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3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3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3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3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3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3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3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3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3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3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3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3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3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3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3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3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3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3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3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3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3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3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3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3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3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3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3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3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3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3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3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3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3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3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3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3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3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3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3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3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3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3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3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3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3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3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3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3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3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3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3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3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3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3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3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3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3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3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3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3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3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3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3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3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3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3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3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3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3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3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3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3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3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3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3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3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3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3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3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3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3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3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3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3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3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3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3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3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3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3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3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3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3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3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3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3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3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3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3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3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3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3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3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3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3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3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3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3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3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3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3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3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3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3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3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3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3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3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3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3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3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3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3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3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3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3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3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3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3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3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3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3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3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3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3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3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3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3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3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3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3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3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3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3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3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3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3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3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3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3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3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3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3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3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3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3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3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3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3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3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3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3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3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3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3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3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3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3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3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3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3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3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3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3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3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3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3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3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3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3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3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3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3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3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3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3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3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3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3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3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3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3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3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3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3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3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3"/>
      <c r="D993" s="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3"/>
      <c r="D994" s="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3"/>
      <c r="D995" s="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3"/>
      <c r="D996" s="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3"/>
      <c r="D997" s="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3"/>
      <c r="D998" s="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3"/>
      <c r="D999" s="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3"/>
      <c r="D1000" s="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5:C5"/>
    <mergeCell ref="D5:E5"/>
    <mergeCell ref="B6:E6"/>
    <mergeCell ref="B7:E7"/>
  </mergeCells>
  <printOptions gridLines="1" horizontalCentered="1"/>
  <pageMargins bottom="0.75" footer="0.0" header="0.0" left="0.7" right="0.7" top="0.75"/>
  <pageSetup fitToHeight="0" cellComments="atEnd" orientation="portrait" pageOrder="overThenDown" paperHeight="39.370078740157474in" paperWidth="11.692913385826772i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2.5"/>
    <col customWidth="1" min="2" max="2" width="15.25"/>
    <col customWidth="1" min="3" max="3" width="26.13"/>
    <col customWidth="1" min="4" max="4" width="8.0"/>
    <col customWidth="1" min="5" max="5" width="26.63"/>
    <col customWidth="1" min="6" max="6" width="15.0"/>
    <col customWidth="1" min="7" max="8" width="14.38"/>
    <col customWidth="1" min="9" max="9" width="14.5"/>
    <col customWidth="1" min="13" max="13" width="15.88"/>
    <col customWidth="1" min="14" max="14" width="17.13"/>
  </cols>
  <sheetData>
    <row r="1" collapsed="1">
      <c r="A1" s="55"/>
      <c r="B1" s="56" t="s">
        <v>163</v>
      </c>
      <c r="C1" s="55"/>
      <c r="D1" s="55"/>
      <c r="E1" s="57"/>
      <c r="F1" s="58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</row>
    <row r="2" hidden="1" outlineLevel="1">
      <c r="A2" s="55"/>
      <c r="B2" s="56" t="s">
        <v>164</v>
      </c>
      <c r="C2" s="55"/>
      <c r="D2" s="55"/>
      <c r="E2" s="55"/>
      <c r="F2" s="59" t="s">
        <v>165</v>
      </c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</row>
    <row r="3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</row>
    <row r="4">
      <c r="A4" s="55"/>
      <c r="B4" s="60" t="s">
        <v>166</v>
      </c>
      <c r="C4" s="61" t="s">
        <v>167</v>
      </c>
      <c r="D4" s="62"/>
      <c r="E4" s="60" t="s">
        <v>168</v>
      </c>
      <c r="F4" s="63" t="s">
        <v>169</v>
      </c>
      <c r="G4" s="63" t="s">
        <v>170</v>
      </c>
      <c r="H4" s="63" t="s">
        <v>171</v>
      </c>
      <c r="I4" s="64" t="s">
        <v>172</v>
      </c>
      <c r="J4" s="63" t="s">
        <v>173</v>
      </c>
      <c r="K4" s="63" t="s">
        <v>174</v>
      </c>
      <c r="L4" s="63" t="s">
        <v>175</v>
      </c>
      <c r="M4" s="65" t="s">
        <v>176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</row>
    <row r="5">
      <c r="A5" s="55"/>
      <c r="B5" s="66" t="s">
        <v>177</v>
      </c>
      <c r="C5" s="67"/>
      <c r="D5" s="55"/>
      <c r="E5" s="68" t="s">
        <v>178</v>
      </c>
      <c r="F5" s="69">
        <f>SUM(F6:F19)</f>
        <v>54.536</v>
      </c>
      <c r="G5" s="69">
        <f>F5*5</f>
        <v>272.68</v>
      </c>
      <c r="H5" s="69">
        <f>G5*8</f>
        <v>2181.44</v>
      </c>
      <c r="I5" s="70">
        <f t="shared" ref="I5:J5" si="1">SUM(I6:I19)</f>
        <v>48875.2</v>
      </c>
      <c r="J5" s="70">
        <f t="shared" si="1"/>
        <v>92366.93333</v>
      </c>
      <c r="K5" s="70"/>
      <c r="L5" s="70"/>
      <c r="M5" s="71">
        <f>((C9/(C14/100+1))-SUM(I6:I19))/(C9/(C14/100+1))</f>
        <v>0.4708582581</v>
      </c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</row>
    <row r="6">
      <c r="A6" s="55"/>
      <c r="B6" s="72" t="s">
        <v>179</v>
      </c>
      <c r="C6" s="73"/>
      <c r="D6" s="55"/>
      <c r="E6" s="74"/>
      <c r="F6" s="75"/>
      <c r="G6" s="75"/>
      <c r="H6" s="75"/>
      <c r="I6" s="75"/>
      <c r="J6" s="75"/>
      <c r="K6" s="75"/>
      <c r="L6" s="75"/>
      <c r="M6" s="76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</row>
    <row r="7">
      <c r="A7" s="55"/>
      <c r="B7" s="55"/>
      <c r="C7" s="55"/>
      <c r="D7" s="55"/>
      <c r="E7" s="74" t="str">
        <f>'PM (Расчеты)'!B6</f>
        <v>Project manager</v>
      </c>
      <c r="F7" s="75">
        <f>'PM (Расчеты)'!I6</f>
        <v>3.816</v>
      </c>
      <c r="G7" s="75">
        <f t="shared" ref="G7:G14" si="2">F7*5</f>
        <v>19.08</v>
      </c>
      <c r="H7" s="75">
        <f t="shared" ref="H7:H14" si="3">G7*8</f>
        <v>152.64</v>
      </c>
      <c r="I7" s="75">
        <f>'PM (Расчеты)'!J6</f>
        <v>2289.6</v>
      </c>
      <c r="J7" s="75">
        <f>('PM (Расчеты)'!J6/(1-M7))</f>
        <v>4579.2</v>
      </c>
      <c r="K7" s="75">
        <f>'PM (Расчеты)'!D6/(100%-M7)</f>
        <v>30</v>
      </c>
      <c r="L7" s="75">
        <f>'PM (Расчеты)'!D6</f>
        <v>15</v>
      </c>
      <c r="M7" s="76">
        <v>0.5</v>
      </c>
      <c r="N7" s="55"/>
      <c r="O7" s="55"/>
      <c r="P7" s="77"/>
      <c r="Q7" s="55"/>
      <c r="R7" s="55"/>
      <c r="S7" s="55"/>
      <c r="T7" s="55"/>
      <c r="U7" s="55"/>
      <c r="V7" s="55"/>
      <c r="W7" s="55"/>
      <c r="X7" s="55"/>
    </row>
    <row r="8">
      <c r="A8" s="55"/>
      <c r="B8" s="78" t="s">
        <v>180</v>
      </c>
      <c r="C8" s="79"/>
      <c r="D8" s="55"/>
      <c r="E8" s="74" t="str">
        <f>'PM (Расчеты)'!B7</f>
        <v>DevOps</v>
      </c>
      <c r="F8" s="75">
        <f>'PM (Расчеты)'!I7</f>
        <v>4.4</v>
      </c>
      <c r="G8" s="75">
        <f t="shared" si="2"/>
        <v>22</v>
      </c>
      <c r="H8" s="75">
        <f t="shared" si="3"/>
        <v>176</v>
      </c>
      <c r="I8" s="75">
        <f>'PM (Расчеты)'!J7</f>
        <v>4400</v>
      </c>
      <c r="J8" s="75">
        <f>('PM (Расчеты)'!J7/(1-M8))</f>
        <v>8800</v>
      </c>
      <c r="K8" s="75">
        <f>'PM (Расчеты)'!D7/(100%-M8)</f>
        <v>50</v>
      </c>
      <c r="L8" s="75">
        <f>'PM (Расчеты)'!D7</f>
        <v>25</v>
      </c>
      <c r="M8" s="76">
        <v>0.5</v>
      </c>
      <c r="N8" s="55"/>
      <c r="O8" s="55"/>
      <c r="P8" s="55"/>
      <c r="Q8" s="55"/>
      <c r="R8" s="77"/>
      <c r="S8" s="77"/>
      <c r="T8" s="77"/>
      <c r="U8" s="77"/>
      <c r="V8" s="77"/>
      <c r="W8" s="77"/>
      <c r="X8" s="77"/>
    </row>
    <row r="9">
      <c r="A9" s="55"/>
      <c r="B9" s="80" t="s">
        <v>181</v>
      </c>
      <c r="C9" s="81">
        <f>SUM(J6:J19)*(C14/100+1)</f>
        <v>92366.93333</v>
      </c>
      <c r="D9" s="55"/>
      <c r="E9" s="74" t="str">
        <f>'PM (Расчеты)'!B8</f>
        <v>Smart contract</v>
      </c>
      <c r="F9" s="75">
        <f>'PM (Расчеты)'!I8</f>
        <v>2.96</v>
      </c>
      <c r="G9" s="75">
        <f t="shared" si="2"/>
        <v>14.8</v>
      </c>
      <c r="H9" s="75">
        <f t="shared" si="3"/>
        <v>118.4</v>
      </c>
      <c r="I9" s="75">
        <f>'PM (Расчеты)'!J8</f>
        <v>3552</v>
      </c>
      <c r="J9" s="75">
        <f>('PM (Расчеты)'!J8/(1-M9))</f>
        <v>5920</v>
      </c>
      <c r="K9" s="75">
        <f>'PM (Расчеты)'!D8/(100%-M9)</f>
        <v>50</v>
      </c>
      <c r="L9" s="75">
        <f>'PM (Расчеты)'!D8</f>
        <v>30</v>
      </c>
      <c r="M9" s="76">
        <v>0.4</v>
      </c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</row>
    <row r="10">
      <c r="A10" s="55"/>
      <c r="B10" s="82" t="s">
        <v>182</v>
      </c>
      <c r="C10" s="83">
        <f>M5</f>
        <v>0.4708582581</v>
      </c>
      <c r="D10" s="55"/>
      <c r="E10" s="74" t="str">
        <f>'PM (Расчеты)'!B9</f>
        <v>Backend</v>
      </c>
      <c r="F10" s="75">
        <f>'PM (Расчеты)'!I9</f>
        <v>10.16</v>
      </c>
      <c r="G10" s="75">
        <f t="shared" si="2"/>
        <v>50.8</v>
      </c>
      <c r="H10" s="75">
        <f t="shared" si="3"/>
        <v>406.4</v>
      </c>
      <c r="I10" s="75">
        <f>'PM (Расчеты)'!J9</f>
        <v>12598.4</v>
      </c>
      <c r="J10" s="75">
        <f>('PM (Расчеты)'!J9/(1-M10))</f>
        <v>20997.33333</v>
      </c>
      <c r="K10" s="75">
        <f>'PM (Расчеты)'!D9/(100%-M10)</f>
        <v>51.66666667</v>
      </c>
      <c r="L10" s="75">
        <f>'PM (Расчеты)'!D9</f>
        <v>31</v>
      </c>
      <c r="M10" s="76">
        <v>0.4</v>
      </c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</row>
    <row r="11">
      <c r="A11" s="55"/>
      <c r="B11" s="55"/>
      <c r="C11" s="55"/>
      <c r="D11" s="55"/>
      <c r="E11" s="74" t="str">
        <f>'PM (Расчеты)'!B10</f>
        <v>Backend</v>
      </c>
      <c r="F11" s="75">
        <f>'PM (Расчеты)'!I10</f>
        <v>10.88</v>
      </c>
      <c r="G11" s="75">
        <f t="shared" si="2"/>
        <v>54.4</v>
      </c>
      <c r="H11" s="75">
        <f t="shared" si="3"/>
        <v>435.2</v>
      </c>
      <c r="I11" s="75">
        <f>'PM (Расчеты)'!J10</f>
        <v>9139.2</v>
      </c>
      <c r="J11" s="75">
        <f>('PM (Расчеты)'!J10/(1-M11))</f>
        <v>18278.4</v>
      </c>
      <c r="K11" s="75">
        <f>'PM (Расчеты)'!D10/(100%-M11)</f>
        <v>42</v>
      </c>
      <c r="L11" s="75">
        <f>'PM (Расчеты)'!D10</f>
        <v>21</v>
      </c>
      <c r="M11" s="76">
        <v>0.5</v>
      </c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</row>
    <row r="12">
      <c r="A12" s="55"/>
      <c r="B12" s="55"/>
      <c r="C12" s="55"/>
      <c r="D12" s="55"/>
      <c r="E12" s="74" t="str">
        <f>'PM (Расчеты)'!B11</f>
        <v>Frontend</v>
      </c>
      <c r="F12" s="75">
        <f>'PM (Расчеты)'!I11</f>
        <v>12.72</v>
      </c>
      <c r="G12" s="75">
        <f t="shared" si="2"/>
        <v>63.6</v>
      </c>
      <c r="H12" s="75">
        <f t="shared" si="3"/>
        <v>508.8</v>
      </c>
      <c r="I12" s="75">
        <f>'PM (Расчеты)'!J11</f>
        <v>10176</v>
      </c>
      <c r="J12" s="75">
        <f>('PM (Расчеты)'!J11/(1-M12))</f>
        <v>20352</v>
      </c>
      <c r="K12" s="75">
        <f>'PM (Расчеты)'!D11/(100%-M12)</f>
        <v>40</v>
      </c>
      <c r="L12" s="75">
        <f>'PM (Расчеты)'!D11</f>
        <v>20</v>
      </c>
      <c r="M12" s="76">
        <v>0.5</v>
      </c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</row>
    <row r="13">
      <c r="A13" s="55"/>
      <c r="B13" s="84" t="s">
        <v>183</v>
      </c>
      <c r="C13" s="85" t="s">
        <v>184</v>
      </c>
      <c r="D13" s="55"/>
      <c r="E13" s="74" t="str">
        <f>'PM (Расчеты)'!B12</f>
        <v>QA</v>
      </c>
      <c r="F13" s="75">
        <f>'PM (Расчеты)'!I12</f>
        <v>4.8</v>
      </c>
      <c r="G13" s="75">
        <f t="shared" si="2"/>
        <v>24</v>
      </c>
      <c r="H13" s="75">
        <f t="shared" si="3"/>
        <v>192</v>
      </c>
      <c r="I13" s="75">
        <f>'PM (Расчеты)'!J12</f>
        <v>2880</v>
      </c>
      <c r="J13" s="75">
        <f>('PM (Расчеты)'!J12/(1-M13))</f>
        <v>5760</v>
      </c>
      <c r="K13" s="75">
        <f>'PM (Расчеты)'!D12/(100%-M13)</f>
        <v>30</v>
      </c>
      <c r="L13" s="75">
        <f>'PM (Расчеты)'!D12</f>
        <v>15</v>
      </c>
      <c r="M13" s="76">
        <v>0.5</v>
      </c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</row>
    <row r="14">
      <c r="A14" s="55"/>
      <c r="B14" s="86" t="s">
        <v>185</v>
      </c>
      <c r="C14" s="87">
        <v>0.0</v>
      </c>
      <c r="D14" s="55"/>
      <c r="E14" s="88" t="s">
        <v>15</v>
      </c>
      <c r="F14" s="75">
        <f>'PM (Расчеты)'!I13</f>
        <v>4.8</v>
      </c>
      <c r="G14" s="75">
        <f t="shared" si="2"/>
        <v>24</v>
      </c>
      <c r="H14" s="75">
        <f t="shared" si="3"/>
        <v>192</v>
      </c>
      <c r="I14" s="75">
        <f>'PM (Расчеты)'!J13</f>
        <v>3840</v>
      </c>
      <c r="J14" s="75">
        <f>('PM (Расчеты)'!J13/(1-M14))</f>
        <v>7680</v>
      </c>
      <c r="K14" s="75">
        <f>'PM (Расчеты)'!D13/(100%-M14)</f>
        <v>40</v>
      </c>
      <c r="L14" s="75">
        <f>'PM (Расчеты)'!D13</f>
        <v>20</v>
      </c>
      <c r="M14" s="76">
        <v>0.5</v>
      </c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</row>
    <row r="15">
      <c r="A15" s="55"/>
      <c r="B15" s="55"/>
      <c r="C15" s="55"/>
      <c r="D15" s="55"/>
      <c r="E15" s="89"/>
      <c r="F15" s="75"/>
      <c r="G15" s="75"/>
      <c r="H15" s="75"/>
      <c r="I15" s="75"/>
      <c r="J15" s="75"/>
      <c r="K15" s="75"/>
      <c r="L15" s="75"/>
      <c r="M15" s="76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</row>
    <row r="16">
      <c r="A16" s="55"/>
      <c r="B16" s="90" t="s">
        <v>186</v>
      </c>
      <c r="C16" s="79"/>
      <c r="D16" s="55"/>
      <c r="E16" s="89"/>
      <c r="F16" s="75"/>
      <c r="G16" s="75"/>
      <c r="H16" s="75"/>
      <c r="I16" s="75"/>
      <c r="J16" s="75"/>
      <c r="K16" s="75"/>
      <c r="L16" s="75"/>
      <c r="M16" s="76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</row>
    <row r="17">
      <c r="A17" s="55"/>
      <c r="B17" s="91" t="s">
        <v>187</v>
      </c>
      <c r="C17" s="92">
        <f>H5</f>
        <v>2181.44</v>
      </c>
      <c r="D17" s="55"/>
      <c r="E17" s="89"/>
      <c r="F17" s="75"/>
      <c r="G17" s="75"/>
      <c r="H17" s="75"/>
      <c r="I17" s="75"/>
      <c r="J17" s="75"/>
      <c r="K17" s="75"/>
      <c r="L17" s="75"/>
      <c r="M17" s="76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</row>
    <row r="18">
      <c r="A18" s="55"/>
      <c r="B18" s="93" t="s">
        <v>188</v>
      </c>
      <c r="C18" s="94">
        <f>C19*5</f>
        <v>5</v>
      </c>
      <c r="D18" s="55"/>
      <c r="E18" s="89"/>
      <c r="F18" s="75"/>
      <c r="G18" s="75"/>
      <c r="H18" s="75"/>
      <c r="I18" s="75"/>
      <c r="J18" s="75"/>
      <c r="K18" s="75"/>
      <c r="L18" s="75"/>
      <c r="M18" s="76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</row>
    <row r="19">
      <c r="A19" s="55"/>
      <c r="B19" s="95" t="s">
        <v>189</v>
      </c>
      <c r="C19" s="96">
        <v>1.0</v>
      </c>
      <c r="D19" s="55"/>
      <c r="E19" s="97"/>
      <c r="F19" s="98"/>
      <c r="G19" s="98"/>
      <c r="H19" s="98"/>
      <c r="I19" s="98"/>
      <c r="J19" s="98"/>
      <c r="K19" s="98"/>
      <c r="L19" s="98"/>
      <c r="M19" s="76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</row>
    <row r="20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</row>
    <row r="21">
      <c r="A21" s="55"/>
      <c r="B21" s="55"/>
      <c r="C21" s="55"/>
      <c r="D21" s="55"/>
      <c r="E21" s="99" t="s">
        <v>190</v>
      </c>
      <c r="F21" s="100" t="s">
        <v>191</v>
      </c>
      <c r="G21" s="101" t="s">
        <v>192</v>
      </c>
      <c r="H21" s="101" t="s">
        <v>193</v>
      </c>
      <c r="I21" s="101" t="s">
        <v>194</v>
      </c>
      <c r="J21" s="101" t="s">
        <v>195</v>
      </c>
      <c r="K21" s="101"/>
      <c r="L21" s="101"/>
      <c r="M21" s="102" t="s">
        <v>196</v>
      </c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</row>
    <row r="22">
      <c r="A22" s="55"/>
      <c r="B22" s="55"/>
      <c r="C22" s="55"/>
      <c r="D22" s="55"/>
      <c r="E22" s="103" t="s">
        <v>197</v>
      </c>
      <c r="F22" s="104"/>
      <c r="G22" s="104"/>
      <c r="H22" s="104"/>
      <c r="I22" s="104"/>
      <c r="J22" s="104"/>
      <c r="K22" s="104"/>
      <c r="L22" s="104"/>
      <c r="M22" s="10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</row>
    <row r="23">
      <c r="A23" s="55"/>
      <c r="B23" s="55"/>
      <c r="C23" s="55"/>
      <c r="D23" s="55"/>
      <c r="E23" s="106" t="s">
        <v>198</v>
      </c>
      <c r="F23" s="107"/>
      <c r="G23" s="108"/>
      <c r="H23" s="108"/>
      <c r="I23" s="108"/>
      <c r="J23" s="108"/>
      <c r="K23" s="108"/>
      <c r="L23" s="108"/>
      <c r="M23" s="10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</row>
    <row r="24">
      <c r="A24" s="55"/>
      <c r="B24" s="55"/>
      <c r="C24" s="55"/>
      <c r="D24" s="55"/>
      <c r="E24" s="106" t="s">
        <v>199</v>
      </c>
      <c r="F24" s="108"/>
      <c r="G24" s="108"/>
      <c r="H24" s="108"/>
      <c r="I24" s="108"/>
      <c r="J24" s="108"/>
      <c r="K24" s="108"/>
      <c r="L24" s="108"/>
      <c r="M24" s="10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</row>
    <row r="25">
      <c r="A25" s="55"/>
      <c r="B25" s="55"/>
      <c r="C25" s="55"/>
      <c r="D25" s="55"/>
      <c r="E25" s="106" t="s">
        <v>200</v>
      </c>
      <c r="F25" s="55"/>
      <c r="G25" s="55"/>
      <c r="H25" s="55"/>
      <c r="I25" s="55"/>
      <c r="J25" s="55"/>
      <c r="K25" s="55"/>
      <c r="L25" s="55"/>
      <c r="M25" s="10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</row>
    <row r="26">
      <c r="A26" s="55"/>
      <c r="B26" s="55"/>
      <c r="C26" s="55"/>
      <c r="D26" s="55"/>
      <c r="E26" s="106" t="s">
        <v>201</v>
      </c>
      <c r="F26" s="55"/>
      <c r="G26" s="55"/>
      <c r="H26" s="55"/>
      <c r="I26" s="55"/>
      <c r="J26" s="55"/>
      <c r="K26" s="55"/>
      <c r="L26" s="55"/>
      <c r="M26" s="10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</row>
    <row r="27">
      <c r="A27" s="55"/>
      <c r="B27" s="55"/>
      <c r="C27" s="55"/>
      <c r="D27" s="55"/>
      <c r="E27" s="109" t="s">
        <v>202</v>
      </c>
      <c r="F27" s="110"/>
      <c r="G27" s="110"/>
      <c r="H27" s="110"/>
      <c r="I27" s="110"/>
      <c r="J27" s="110"/>
      <c r="K27" s="110"/>
      <c r="L27" s="110"/>
      <c r="M27" s="111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</row>
    <row r="28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</row>
    <row r="29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</row>
    <row r="30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</row>
    <row r="3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</row>
    <row r="32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</row>
    <row r="33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</row>
    <row r="34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</row>
    <row r="35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</row>
    <row r="36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</row>
    <row r="37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</row>
    <row r="38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</row>
    <row r="39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</row>
    <row r="40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</row>
    <row r="4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</row>
    <row r="42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</row>
    <row r="43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</row>
    <row r="44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</row>
    <row r="45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</row>
    <row r="46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</row>
    <row r="47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</row>
    <row r="48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</row>
    <row r="49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</row>
    <row r="50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</row>
    <row r="5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</row>
    <row r="52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</row>
    <row r="53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</row>
    <row r="54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</row>
    <row r="5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</row>
    <row r="56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</row>
    <row r="57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</row>
    <row r="58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</row>
    <row r="59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</row>
    <row r="60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</row>
    <row r="6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</row>
    <row r="62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</row>
    <row r="63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</row>
    <row r="64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</row>
    <row r="65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</row>
    <row r="66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</row>
    <row r="67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</row>
    <row r="68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</row>
    <row r="69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</row>
    <row r="70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</row>
    <row r="7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</row>
    <row r="72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</row>
    <row r="73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</row>
    <row r="74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</row>
    <row r="7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</row>
    <row r="76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</row>
    <row r="77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</row>
    <row r="78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</row>
    <row r="79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</row>
    <row r="80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</row>
    <row r="8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</row>
    <row r="82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</row>
    <row r="83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</row>
    <row r="84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</row>
    <row r="8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</row>
    <row r="86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</row>
    <row r="87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</row>
    <row r="88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</row>
    <row r="89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</row>
    <row r="90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</row>
    <row r="9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</row>
    <row r="92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</row>
    <row r="93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</row>
    <row r="94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</row>
    <row r="9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</row>
    <row r="96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</row>
    <row r="97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</row>
    <row r="98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</row>
    <row r="99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</row>
    <row r="100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</row>
    <row r="10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</row>
    <row r="102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</row>
    <row r="10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</row>
    <row r="104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</row>
    <row r="10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</row>
    <row r="106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</row>
    <row r="107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</row>
    <row r="108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</row>
    <row r="109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</row>
    <row r="110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</row>
    <row r="11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</row>
    <row r="112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</row>
    <row r="113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</row>
    <row r="114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</row>
    <row r="11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</row>
    <row r="116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</row>
    <row r="117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</row>
    <row r="118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</row>
    <row r="119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</row>
    <row r="120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</row>
    <row r="12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</row>
    <row r="122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</row>
    <row r="123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</row>
    <row r="124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</row>
    <row r="12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</row>
    <row r="126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</row>
    <row r="127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</row>
    <row r="128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</row>
    <row r="129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</row>
    <row r="130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</row>
    <row r="13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</row>
    <row r="13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</row>
    <row r="133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</row>
    <row r="134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</row>
    <row r="13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</row>
    <row r="136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</row>
    <row r="137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</row>
    <row r="138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</row>
    <row r="139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</row>
    <row r="140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</row>
    <row r="14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</row>
    <row r="142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</row>
    <row r="143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</row>
    <row r="144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</row>
    <row r="14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</row>
    <row r="146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</row>
    <row r="147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</row>
    <row r="148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</row>
    <row r="149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</row>
    <row r="150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</row>
    <row r="15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</row>
    <row r="152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</row>
    <row r="153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</row>
    <row r="154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</row>
    <row r="15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</row>
    <row r="156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</row>
    <row r="157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</row>
    <row r="158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</row>
    <row r="159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</row>
    <row r="160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</row>
    <row r="16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</row>
    <row r="162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</row>
    <row r="163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</row>
    <row r="164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</row>
    <row r="16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</row>
    <row r="166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</row>
    <row r="167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</row>
    <row r="168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</row>
    <row r="169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</row>
    <row r="170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</row>
    <row r="17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</row>
    <row r="172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</row>
    <row r="173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</row>
    <row r="174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</row>
    <row r="17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</row>
    <row r="176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</row>
    <row r="177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</row>
    <row r="178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</row>
    <row r="179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</row>
    <row r="180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</row>
    <row r="18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</row>
    <row r="182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</row>
    <row r="183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</row>
    <row r="184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</row>
    <row r="18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</row>
    <row r="186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</row>
    <row r="187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</row>
    <row r="188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</row>
    <row r="189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</row>
    <row r="190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</row>
    <row r="19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</row>
    <row r="192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</row>
    <row r="193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</row>
    <row r="194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</row>
    <row r="19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</row>
    <row r="196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</row>
    <row r="197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</row>
    <row r="198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</row>
    <row r="199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</row>
    <row r="200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</row>
    <row r="20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</row>
    <row r="202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</row>
    <row r="203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</row>
    <row r="204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</row>
    <row r="20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</row>
    <row r="206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</row>
    <row r="207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</row>
    <row r="208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</row>
    <row r="209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</row>
    <row r="210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</row>
    <row r="21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</row>
    <row r="212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</row>
    <row r="213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</row>
    <row r="214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</row>
    <row r="21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</row>
    <row r="216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</row>
    <row r="217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</row>
    <row r="218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</row>
    <row r="219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</row>
    <row r="220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</row>
    <row r="22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</row>
    <row r="222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</row>
    <row r="223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</row>
    <row r="224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</row>
    <row r="2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</row>
    <row r="226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</row>
    <row r="227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</row>
    <row r="228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</row>
    <row r="229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</row>
    <row r="230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</row>
    <row r="23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</row>
    <row r="232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</row>
    <row r="233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</row>
    <row r="234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</row>
    <row r="23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</row>
    <row r="236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</row>
    <row r="237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</row>
    <row r="238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</row>
    <row r="239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</row>
    <row r="240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</row>
    <row r="24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</row>
    <row r="242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</row>
    <row r="243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</row>
    <row r="244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</row>
    <row r="24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</row>
    <row r="246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</row>
    <row r="247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</row>
    <row r="248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</row>
    <row r="249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</row>
    <row r="250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</row>
    <row r="25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</row>
    <row r="25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</row>
    <row r="253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</row>
    <row r="254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</row>
    <row r="25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</row>
    <row r="256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</row>
    <row r="257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</row>
    <row r="258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</row>
    <row r="259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</row>
    <row r="260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</row>
    <row r="26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</row>
    <row r="262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</row>
    <row r="263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</row>
    <row r="264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</row>
    <row r="26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</row>
    <row r="266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</row>
    <row r="267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</row>
    <row r="268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</row>
    <row r="269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</row>
    <row r="270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</row>
    <row r="27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</row>
    <row r="27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</row>
    <row r="273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</row>
    <row r="274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</row>
    <row r="27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</row>
    <row r="276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</row>
    <row r="277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</row>
    <row r="278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</row>
    <row r="279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</row>
    <row r="280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</row>
    <row r="28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</row>
    <row r="282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</row>
    <row r="283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</row>
    <row r="284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</row>
    <row r="28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</row>
    <row r="286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</row>
    <row r="287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</row>
    <row r="288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</row>
    <row r="289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</row>
    <row r="290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</row>
    <row r="29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</row>
    <row r="292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</row>
    <row r="293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</row>
    <row r="294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</row>
    <row r="29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</row>
    <row r="296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</row>
    <row r="297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</row>
    <row r="298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</row>
    <row r="299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</row>
    <row r="300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</row>
    <row r="30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</row>
    <row r="302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</row>
    <row r="303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</row>
    <row r="304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</row>
    <row r="30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</row>
    <row r="306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</row>
    <row r="307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</row>
    <row r="308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</row>
    <row r="309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</row>
    <row r="310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</row>
    <row r="31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</row>
    <row r="312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</row>
    <row r="313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</row>
    <row r="314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</row>
    <row r="31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</row>
    <row r="316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</row>
    <row r="317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</row>
    <row r="318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</row>
    <row r="319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</row>
    <row r="320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</row>
    <row r="32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</row>
    <row r="322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</row>
    <row r="323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</row>
    <row r="324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</row>
    <row r="3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</row>
    <row r="326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</row>
    <row r="327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</row>
    <row r="328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</row>
    <row r="329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</row>
    <row r="330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</row>
    <row r="33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</row>
    <row r="332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</row>
    <row r="333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</row>
    <row r="334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</row>
    <row r="33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</row>
    <row r="336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</row>
    <row r="337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</row>
    <row r="338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</row>
    <row r="339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</row>
    <row r="340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</row>
    <row r="34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</row>
    <row r="342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</row>
    <row r="343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</row>
    <row r="344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</row>
    <row r="34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</row>
    <row r="346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</row>
    <row r="347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</row>
    <row r="348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</row>
    <row r="349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</row>
    <row r="350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</row>
    <row r="35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</row>
    <row r="352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</row>
    <row r="353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</row>
    <row r="354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</row>
    <row r="35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</row>
    <row r="356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</row>
    <row r="357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</row>
    <row r="358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</row>
    <row r="359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</row>
    <row r="360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</row>
    <row r="36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</row>
    <row r="362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</row>
    <row r="363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</row>
    <row r="364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</row>
    <row r="36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</row>
    <row r="366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</row>
    <row r="367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</row>
    <row r="368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</row>
    <row r="369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</row>
    <row r="370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</row>
    <row r="37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</row>
    <row r="372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</row>
    <row r="373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</row>
    <row r="374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</row>
    <row r="37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</row>
    <row r="376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</row>
    <row r="377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</row>
    <row r="378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</row>
    <row r="379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</row>
    <row r="380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</row>
    <row r="38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</row>
    <row r="38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</row>
    <row r="383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</row>
    <row r="384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</row>
    <row r="38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</row>
    <row r="386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</row>
    <row r="387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</row>
    <row r="388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</row>
    <row r="389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</row>
    <row r="390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</row>
    <row r="39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</row>
    <row r="39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</row>
    <row r="393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</row>
    <row r="394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</row>
    <row r="39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</row>
    <row r="396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</row>
    <row r="397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</row>
    <row r="398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</row>
    <row r="399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</row>
    <row r="400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</row>
    <row r="40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</row>
    <row r="40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</row>
    <row r="403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</row>
    <row r="404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</row>
    <row r="40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</row>
    <row r="406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</row>
    <row r="407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</row>
    <row r="408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</row>
    <row r="409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</row>
    <row r="410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</row>
    <row r="41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</row>
    <row r="41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</row>
    <row r="413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</row>
    <row r="414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</row>
    <row r="41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</row>
    <row r="416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</row>
    <row r="417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</row>
    <row r="418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</row>
    <row r="419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</row>
    <row r="420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</row>
    <row r="42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</row>
    <row r="42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</row>
    <row r="423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</row>
    <row r="424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</row>
    <row r="4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</row>
    <row r="426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</row>
    <row r="427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</row>
    <row r="428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</row>
    <row r="429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</row>
    <row r="430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</row>
    <row r="43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</row>
    <row r="43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</row>
    <row r="433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</row>
    <row r="434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</row>
    <row r="43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</row>
    <row r="436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</row>
    <row r="437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</row>
    <row r="438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</row>
    <row r="439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</row>
    <row r="440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</row>
    <row r="44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</row>
    <row r="44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</row>
    <row r="443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</row>
    <row r="444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</row>
    <row r="44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</row>
    <row r="446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</row>
    <row r="447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</row>
    <row r="448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</row>
    <row r="449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</row>
    <row r="450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</row>
    <row r="45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</row>
    <row r="45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</row>
    <row r="453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</row>
    <row r="454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</row>
    <row r="45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</row>
    <row r="456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</row>
    <row r="457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</row>
    <row r="458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</row>
    <row r="459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</row>
    <row r="460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</row>
    <row r="46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</row>
    <row r="46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</row>
    <row r="463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</row>
    <row r="464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</row>
    <row r="46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</row>
    <row r="466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</row>
    <row r="467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</row>
    <row r="468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</row>
    <row r="469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</row>
    <row r="470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</row>
    <row r="47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</row>
    <row r="47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</row>
    <row r="473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</row>
    <row r="474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</row>
    <row r="47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</row>
    <row r="476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</row>
    <row r="477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</row>
    <row r="478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</row>
    <row r="479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</row>
    <row r="480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</row>
    <row r="48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</row>
    <row r="48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</row>
    <row r="483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</row>
    <row r="484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</row>
    <row r="48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</row>
    <row r="486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</row>
    <row r="487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</row>
    <row r="488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</row>
    <row r="489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</row>
    <row r="490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</row>
    <row r="49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</row>
    <row r="49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</row>
    <row r="493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</row>
    <row r="494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</row>
    <row r="49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</row>
    <row r="496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</row>
    <row r="497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</row>
    <row r="498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</row>
    <row r="499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</row>
    <row r="500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</row>
    <row r="50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</row>
    <row r="50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</row>
    <row r="503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</row>
    <row r="504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</row>
    <row r="50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</row>
    <row r="506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</row>
    <row r="507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</row>
    <row r="508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</row>
    <row r="509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</row>
    <row r="510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</row>
    <row r="51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</row>
    <row r="51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</row>
    <row r="513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</row>
    <row r="514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</row>
    <row r="51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</row>
    <row r="516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</row>
    <row r="517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</row>
    <row r="518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</row>
    <row r="519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</row>
    <row r="520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</row>
    <row r="52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</row>
    <row r="52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</row>
    <row r="523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</row>
    <row r="524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</row>
    <row r="5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</row>
    <row r="526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</row>
    <row r="527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</row>
    <row r="528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</row>
    <row r="529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</row>
    <row r="530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</row>
    <row r="53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</row>
    <row r="53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</row>
    <row r="533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</row>
    <row r="534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</row>
    <row r="53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</row>
    <row r="536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</row>
    <row r="537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</row>
    <row r="538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</row>
    <row r="539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</row>
    <row r="540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</row>
    <row r="54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</row>
    <row r="54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</row>
    <row r="543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</row>
    <row r="544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</row>
    <row r="54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</row>
    <row r="546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</row>
    <row r="547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</row>
    <row r="548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</row>
    <row r="549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</row>
    <row r="550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</row>
    <row r="55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</row>
    <row r="55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</row>
    <row r="553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</row>
    <row r="554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</row>
    <row r="55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</row>
    <row r="556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</row>
    <row r="557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</row>
    <row r="558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</row>
    <row r="559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</row>
    <row r="560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</row>
    <row r="56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</row>
    <row r="56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</row>
    <row r="563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</row>
    <row r="564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</row>
    <row r="56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</row>
    <row r="566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</row>
    <row r="567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</row>
    <row r="568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</row>
    <row r="569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</row>
    <row r="570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</row>
    <row r="57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</row>
    <row r="57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</row>
    <row r="573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</row>
    <row r="574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</row>
    <row r="57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</row>
    <row r="576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</row>
    <row r="577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</row>
    <row r="578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</row>
    <row r="579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</row>
    <row r="580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</row>
    <row r="58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</row>
    <row r="58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</row>
    <row r="583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</row>
    <row r="584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</row>
    <row r="58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</row>
    <row r="586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</row>
    <row r="587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</row>
    <row r="588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</row>
    <row r="589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</row>
    <row r="590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</row>
    <row r="59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</row>
    <row r="59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</row>
    <row r="593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</row>
    <row r="594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</row>
    <row r="59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</row>
    <row r="596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</row>
    <row r="597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</row>
    <row r="598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</row>
    <row r="599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</row>
    <row r="600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</row>
    <row r="60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</row>
    <row r="60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</row>
    <row r="603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</row>
    <row r="604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</row>
    <row r="60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</row>
    <row r="606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</row>
    <row r="607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</row>
    <row r="608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</row>
    <row r="609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</row>
    <row r="610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</row>
    <row r="61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</row>
    <row r="61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</row>
    <row r="613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</row>
    <row r="614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</row>
    <row r="61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</row>
    <row r="616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</row>
    <row r="617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</row>
    <row r="618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</row>
    <row r="619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</row>
    <row r="620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</row>
    <row r="62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</row>
    <row r="62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</row>
    <row r="623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</row>
    <row r="624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</row>
    <row r="6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</row>
    <row r="626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</row>
    <row r="627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</row>
    <row r="628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</row>
    <row r="629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</row>
    <row r="630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</row>
    <row r="63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</row>
    <row r="63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</row>
    <row r="633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</row>
    <row r="634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</row>
    <row r="63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</row>
    <row r="636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</row>
    <row r="637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</row>
    <row r="638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</row>
    <row r="639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</row>
    <row r="640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</row>
    <row r="64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</row>
    <row r="64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</row>
    <row r="643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</row>
    <row r="644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</row>
    <row r="64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</row>
    <row r="646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</row>
    <row r="647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</row>
    <row r="648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</row>
    <row r="649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</row>
    <row r="650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</row>
    <row r="65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</row>
    <row r="65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</row>
    <row r="653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</row>
    <row r="654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</row>
    <row r="65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</row>
    <row r="656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</row>
    <row r="657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</row>
    <row r="658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</row>
    <row r="659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</row>
    <row r="660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</row>
    <row r="66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</row>
    <row r="66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</row>
    <row r="663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</row>
    <row r="664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</row>
    <row r="66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</row>
    <row r="666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</row>
    <row r="667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</row>
    <row r="668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</row>
    <row r="669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</row>
    <row r="670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</row>
    <row r="67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</row>
    <row r="67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</row>
    <row r="673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</row>
    <row r="674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</row>
    <row r="67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</row>
    <row r="676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</row>
    <row r="677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</row>
    <row r="678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</row>
    <row r="679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</row>
    <row r="680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</row>
    <row r="68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</row>
    <row r="68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</row>
    <row r="683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</row>
    <row r="684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</row>
    <row r="68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</row>
    <row r="686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</row>
    <row r="687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</row>
    <row r="688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</row>
    <row r="689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</row>
    <row r="690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</row>
    <row r="69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</row>
    <row r="69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</row>
    <row r="693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</row>
    <row r="694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</row>
    <row r="69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</row>
    <row r="696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</row>
    <row r="697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</row>
    <row r="698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</row>
    <row r="699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</row>
    <row r="700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</row>
    <row r="70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</row>
    <row r="70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</row>
    <row r="703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</row>
    <row r="704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</row>
    <row r="70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</row>
    <row r="706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</row>
    <row r="707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</row>
    <row r="708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</row>
    <row r="709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</row>
    <row r="710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</row>
    <row r="71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</row>
    <row r="71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</row>
    <row r="713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</row>
    <row r="714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</row>
    <row r="71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</row>
    <row r="716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</row>
    <row r="717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</row>
    <row r="718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</row>
    <row r="719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</row>
    <row r="720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</row>
    <row r="72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</row>
    <row r="72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</row>
    <row r="723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</row>
    <row r="724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</row>
    <row r="7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</row>
    <row r="726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</row>
    <row r="727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</row>
    <row r="728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</row>
    <row r="729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</row>
    <row r="730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</row>
    <row r="73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</row>
    <row r="73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</row>
    <row r="733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</row>
    <row r="734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</row>
    <row r="73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</row>
    <row r="736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</row>
    <row r="737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</row>
    <row r="738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</row>
    <row r="739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</row>
    <row r="740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</row>
    <row r="74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</row>
    <row r="74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</row>
    <row r="743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</row>
    <row r="744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</row>
    <row r="74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</row>
    <row r="746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</row>
    <row r="747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</row>
    <row r="748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</row>
    <row r="749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</row>
    <row r="750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</row>
    <row r="75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</row>
    <row r="75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</row>
    <row r="753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</row>
    <row r="754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</row>
    <row r="75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</row>
    <row r="756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</row>
    <row r="757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</row>
    <row r="758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</row>
    <row r="759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</row>
    <row r="760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</row>
    <row r="76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</row>
    <row r="76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</row>
    <row r="763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</row>
    <row r="764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</row>
    <row r="76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</row>
    <row r="766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</row>
    <row r="767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</row>
    <row r="768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</row>
    <row r="769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</row>
    <row r="770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</row>
    <row r="77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</row>
    <row r="77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</row>
    <row r="773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</row>
    <row r="774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</row>
    <row r="77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</row>
    <row r="776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</row>
    <row r="777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</row>
    <row r="778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</row>
    <row r="779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</row>
    <row r="780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</row>
    <row r="78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</row>
    <row r="78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</row>
    <row r="783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</row>
    <row r="784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</row>
    <row r="78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</row>
    <row r="786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</row>
    <row r="787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</row>
    <row r="788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</row>
    <row r="789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</row>
    <row r="790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</row>
    <row r="79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</row>
    <row r="79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</row>
    <row r="793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</row>
    <row r="794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</row>
    <row r="79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</row>
    <row r="796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</row>
    <row r="797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</row>
    <row r="798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</row>
    <row r="799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</row>
    <row r="800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</row>
    <row r="80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</row>
    <row r="80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</row>
    <row r="803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</row>
    <row r="804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</row>
    <row r="80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</row>
    <row r="806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</row>
    <row r="807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</row>
    <row r="808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</row>
    <row r="809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</row>
    <row r="810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</row>
    <row r="81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</row>
    <row r="81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</row>
    <row r="813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</row>
    <row r="814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</row>
    <row r="81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</row>
    <row r="816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</row>
    <row r="817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</row>
    <row r="818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</row>
    <row r="819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</row>
    <row r="820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</row>
    <row r="82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</row>
    <row r="82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</row>
    <row r="823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</row>
    <row r="824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</row>
    <row r="8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</row>
    <row r="826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</row>
    <row r="827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</row>
    <row r="828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</row>
    <row r="829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</row>
    <row r="830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</row>
    <row r="83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</row>
    <row r="83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</row>
    <row r="833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</row>
    <row r="834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</row>
    <row r="83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</row>
    <row r="836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</row>
    <row r="837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</row>
    <row r="838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</row>
    <row r="839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</row>
    <row r="840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</row>
    <row r="84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</row>
    <row r="84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</row>
    <row r="843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</row>
    <row r="844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</row>
    <row r="84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</row>
    <row r="846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</row>
    <row r="847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</row>
    <row r="848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</row>
    <row r="849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</row>
    <row r="850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</row>
    <row r="85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</row>
    <row r="85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</row>
    <row r="853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</row>
    <row r="854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</row>
    <row r="85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</row>
    <row r="856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</row>
    <row r="857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</row>
    <row r="858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</row>
    <row r="859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</row>
    <row r="860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</row>
    <row r="86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</row>
    <row r="86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</row>
    <row r="863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</row>
    <row r="864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</row>
    <row r="86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</row>
    <row r="866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</row>
    <row r="867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</row>
    <row r="868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</row>
    <row r="869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</row>
    <row r="870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</row>
    <row r="87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</row>
    <row r="87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</row>
    <row r="873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</row>
    <row r="874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</row>
    <row r="87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</row>
    <row r="876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</row>
    <row r="877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</row>
    <row r="878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</row>
    <row r="879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</row>
    <row r="880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</row>
    <row r="88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</row>
    <row r="88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</row>
    <row r="883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</row>
    <row r="884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</row>
    <row r="88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</row>
    <row r="886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</row>
    <row r="887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</row>
    <row r="888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</row>
    <row r="889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</row>
    <row r="890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</row>
    <row r="89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</row>
    <row r="89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</row>
    <row r="893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</row>
    <row r="894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</row>
    <row r="89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</row>
    <row r="896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</row>
    <row r="897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</row>
    <row r="898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</row>
    <row r="899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</row>
    <row r="900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</row>
    <row r="90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</row>
    <row r="90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</row>
    <row r="903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</row>
    <row r="904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</row>
    <row r="90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</row>
    <row r="906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</row>
    <row r="907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</row>
    <row r="908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</row>
    <row r="909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</row>
    <row r="910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</row>
    <row r="91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</row>
    <row r="91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</row>
    <row r="913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</row>
    <row r="914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</row>
    <row r="91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</row>
    <row r="916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</row>
    <row r="917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</row>
    <row r="918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</row>
    <row r="919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</row>
    <row r="920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</row>
    <row r="92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</row>
    <row r="92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</row>
    <row r="923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</row>
    <row r="924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</row>
    <row r="9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</row>
    <row r="926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</row>
    <row r="927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</row>
    <row r="928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</row>
    <row r="929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</row>
    <row r="930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</row>
    <row r="93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</row>
    <row r="93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</row>
    <row r="933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</row>
    <row r="934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</row>
    <row r="93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</row>
    <row r="936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</row>
    <row r="937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</row>
    <row r="938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</row>
    <row r="939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</row>
    <row r="940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</row>
    <row r="94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</row>
    <row r="942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</row>
    <row r="943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</row>
    <row r="944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</row>
    <row r="94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</row>
    <row r="946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</row>
    <row r="947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</row>
    <row r="948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</row>
    <row r="949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</row>
    <row r="950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</row>
    <row r="95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</row>
    <row r="952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</row>
    <row r="953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</row>
    <row r="954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</row>
    <row r="95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</row>
    <row r="956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</row>
    <row r="957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</row>
    <row r="958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</row>
    <row r="959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</row>
    <row r="960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</row>
    <row r="96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</row>
    <row r="962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</row>
    <row r="963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</row>
    <row r="964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</row>
    <row r="96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</row>
    <row r="966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</row>
    <row r="967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</row>
    <row r="968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</row>
    <row r="969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</row>
    <row r="970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</row>
    <row r="97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</row>
    <row r="972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</row>
    <row r="973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</row>
    <row r="974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</row>
    <row r="97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</row>
    <row r="976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</row>
    <row r="977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</row>
    <row r="978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</row>
    <row r="979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</row>
    <row r="980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</row>
    <row r="98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</row>
    <row r="982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</row>
    <row r="983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</row>
    <row r="984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</row>
    <row r="98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</row>
    <row r="986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</row>
    <row r="987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</row>
    <row r="988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</row>
    <row r="989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</row>
    <row r="990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</row>
    <row r="99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</row>
    <row r="992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</row>
    <row r="993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</row>
    <row r="994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</row>
    <row r="99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</row>
    <row r="996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</row>
    <row r="997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</row>
    <row r="998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</row>
    <row r="999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</row>
    <row r="1000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</row>
    <row r="1001">
      <c r="A1001" s="55"/>
      <c r="B1001" s="55"/>
      <c r="C1001" s="55"/>
      <c r="D1001" s="55"/>
      <c r="E1001" s="55"/>
      <c r="F1001" s="55"/>
      <c r="G1001" s="55"/>
      <c r="H1001" s="55"/>
      <c r="I1001" s="55"/>
      <c r="J1001" s="55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  <c r="W1001" s="55"/>
      <c r="X1001" s="55"/>
    </row>
    <row r="1002">
      <c r="A1002" s="55"/>
      <c r="B1002" s="55"/>
      <c r="C1002" s="55"/>
      <c r="D1002" s="55"/>
      <c r="E1002" s="55"/>
      <c r="F1002" s="55"/>
      <c r="G1002" s="55"/>
      <c r="H1002" s="55"/>
      <c r="I1002" s="55"/>
      <c r="J1002" s="55"/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  <c r="W1002" s="55"/>
      <c r="X1002" s="55"/>
    </row>
    <row r="1003">
      <c r="A1003" s="55"/>
      <c r="B1003" s="55"/>
      <c r="C1003" s="55"/>
      <c r="D1003" s="55"/>
      <c r="E1003" s="55"/>
      <c r="F1003" s="55"/>
      <c r="G1003" s="55"/>
      <c r="H1003" s="55"/>
      <c r="I1003" s="55"/>
      <c r="J1003" s="55"/>
      <c r="K1003" s="55"/>
      <c r="L1003" s="55"/>
      <c r="M1003" s="55"/>
      <c r="N1003" s="55"/>
      <c r="O1003" s="55"/>
      <c r="P1003" s="55"/>
      <c r="Q1003" s="55"/>
      <c r="R1003" s="55"/>
      <c r="S1003" s="55"/>
      <c r="T1003" s="55"/>
      <c r="U1003" s="55"/>
      <c r="V1003" s="55"/>
      <c r="W1003" s="55"/>
      <c r="X1003" s="55"/>
    </row>
  </sheetData>
  <mergeCells count="2">
    <mergeCell ref="B8:C8"/>
    <mergeCell ref="B16:C16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 outlineLevelRow="1"/>
  <cols>
    <col customWidth="1" min="1" max="1" width="10.0"/>
    <col customWidth="1" min="2" max="2" width="18.63"/>
    <col customWidth="1" min="3" max="3" width="24.88"/>
    <col customWidth="1" min="4" max="4" width="29.13"/>
    <col customWidth="1" min="5" max="5" width="10.25"/>
    <col customWidth="1" min="8" max="8" width="15.13"/>
  </cols>
  <sheetData>
    <row r="1" hidden="1" outlineLevel="1">
      <c r="A1" s="112"/>
      <c r="B1" s="113"/>
      <c r="C1" s="113"/>
      <c r="D1" s="113"/>
      <c r="E1" s="113"/>
      <c r="F1" s="114"/>
      <c r="G1" s="114"/>
      <c r="H1" s="115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</row>
    <row r="2" hidden="1" outlineLevel="1">
      <c r="A2" s="113"/>
      <c r="B2" s="118" t="s">
        <v>203</v>
      </c>
      <c r="C2" s="113"/>
      <c r="D2" s="113"/>
      <c r="E2" s="113"/>
      <c r="F2" s="114"/>
      <c r="G2" s="114"/>
      <c r="H2" s="115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</row>
    <row r="3" collapsed="1">
      <c r="A3" s="112" t="s">
        <v>163</v>
      </c>
      <c r="B3" s="118"/>
      <c r="C3" s="113"/>
      <c r="D3" s="113"/>
      <c r="E3" s="113"/>
      <c r="F3" s="113"/>
      <c r="G3" s="113"/>
      <c r="H3" s="119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6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</row>
    <row r="4" outlineLevel="1">
      <c r="B4" s="120" t="s">
        <v>204</v>
      </c>
      <c r="C4" s="121" t="s">
        <v>205</v>
      </c>
      <c r="D4" s="122" t="s">
        <v>206</v>
      </c>
      <c r="E4" s="113"/>
      <c r="F4" s="123" t="s">
        <v>204</v>
      </c>
      <c r="G4" s="121" t="s">
        <v>205</v>
      </c>
      <c r="H4" s="124" t="s">
        <v>206</v>
      </c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6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</row>
    <row r="5" outlineLevel="1">
      <c r="A5" s="116">
        <v>1.0</v>
      </c>
      <c r="B5" s="125">
        <f>SUMPRODUCT(($A12:$A1002 = 1) * (F12:F1002)  * IF(LEN('Оценка'!$E$12:$E1002) = 0, 1, IF('Оценка'!$E$12:$E1002 = 0, 1, 'Оценка'!$E$12:$E1002)))
</f>
        <v>10.5</v>
      </c>
      <c r="C5" s="125">
        <f>SUMPRODUCT(($A12:$A1002 = 1) * (G12:G1002)  * IF(LEN('Оценка'!$E$12:$E1002) = 0, 1, IF('Оценка'!$E$12:$E1002 = 0, 1, 'Оценка'!$E$12:$E1002)))
</f>
        <v>17</v>
      </c>
      <c r="D5" s="126">
        <f>'PM (Расчеты)'!I7</f>
        <v>4.4</v>
      </c>
      <c r="E5" s="127">
        <v>7.0</v>
      </c>
      <c r="F5" s="128">
        <f>SUMPRODUCT(($A12:$A1002 = 7) * ('Оценка'!F12:F1002) * IF(LEN('Оценка'!$E$12:$E1002) = 0, 1, IF('Оценка'!$E$12:$E1002 = 0, 1, 'Оценка'!$E$12:$E1002)))
</f>
        <v>15</v>
      </c>
      <c r="G5" s="128">
        <f>SUMPRODUCT(($A12:$A1002 = 7) * ('Оценка'!G12:G1002) * IF(LEN('Оценка'!$E$12:$E1002) = 0, 1, IF('Оценка'!$E$12:$E1002 = 0, 1, 'Оценка'!$E$12:$E1002)))
</f>
        <v>15</v>
      </c>
      <c r="H5" s="129">
        <f>'PM (Расчеты)'!I13</f>
        <v>4.8</v>
      </c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27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</row>
    <row r="6" outlineLevel="1">
      <c r="A6" s="116">
        <v>2.0</v>
      </c>
      <c r="B6" s="125">
        <f>SUMPRODUCT(($A12:$A1002 = 2) * ('Оценка'!F12:F1002) * IF(LEN('Оценка'!$E$12:$E1002) = 0, 1, IF('Оценка'!$E$12:$E1002 = 0, 1, 'Оценка'!$E$12:$E1002)))
</f>
        <v>8</v>
      </c>
      <c r="C6" s="125">
        <f>SUMPRODUCT(($A12:$A1002 = 2) * ('Оценка'!G12:G1002) * IF(LEN('Оценка'!$E$12:$E1002) = 0, 1, IF('Оценка'!$E$12:$E1002 = 0, 1, 'Оценка'!$E$12:$E1002)))
</f>
        <v>10.5</v>
      </c>
      <c r="D6" s="126">
        <f>'PM (Расчеты)'!I8</f>
        <v>2.96</v>
      </c>
      <c r="E6" s="127">
        <v>8.0</v>
      </c>
      <c r="F6" s="128">
        <f>SUMPRODUCT(($A12:$A1002 = 8) * ('Оценка'!F12:F1002) * IF(LEN('Оценка'!$E$12:$E1002) = 0, 1, IF('Оценка'!$E$12:$E1002 = 0, 1, 'Оценка'!$E$12:$E1002)))
</f>
        <v>0</v>
      </c>
      <c r="G6" s="128">
        <f>SUMPRODUCT(($A12:$A1002 = 8) * ('Оценка'!G12:G1002) * IF(LEN('Оценка'!$E$12:$E1002) = 0, 1, IF('Оценка'!$E$12:$E1002 = 0, 1, 'Оценка'!$E$12:$E1002)))
</f>
        <v>0</v>
      </c>
      <c r="H6" s="129">
        <f>'PM (Расчеты)'!I14</f>
        <v>0</v>
      </c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27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</row>
    <row r="7" outlineLevel="1">
      <c r="A7" s="116">
        <v>3.0</v>
      </c>
      <c r="B7" s="131">
        <f>SUMPRODUCT(($A12:$A1002 = 3) * ('Оценка'!F12:F1002) * IF(LEN('Оценка'!$E$12:$E1002) = 0, 1, IF('Оценка'!$E$12:$E1002 = 0, 1, 'Оценка'!$E$12:$E1002)))
</f>
        <v>24.5</v>
      </c>
      <c r="C7" s="125">
        <f>SUMPRODUCT(($A12:$A1002 = 3) * ('Оценка'!G12:G1002) * IF(LEN('Оценка'!$E$12:$E1002) = 0, 1, IF('Оценка'!$E$12:$E1002 = 0, 1, 'Оценка'!$E$12:$E1002)))
</f>
        <v>39</v>
      </c>
      <c r="D7" s="126">
        <f>'PM (Расчеты)'!I9</f>
        <v>10.16</v>
      </c>
      <c r="E7" s="127">
        <v>9.0</v>
      </c>
      <c r="F7" s="128">
        <f>SUMPRODUCT(($A12:$A1002 = 9) * ('Оценка'!F12:F1002) * IF(LEN('Оценка'!$E$12:$E1002) = 0, 1, IF('Оценка'!$E$12:$E1002 = 0, 1, 'Оценка'!$E$12:$E1002)))
</f>
        <v>0</v>
      </c>
      <c r="G7" s="128">
        <f>SUMPRODUCT(($A12:$A1002 = 9) * ('Оценка'!G12:G1002) * IF(LEN('Оценка'!$E$12:$E1002) = 0, 1, IF('Оценка'!$E$12:$E1002 = 0, 1, 'Оценка'!$E$12:$E1002)))
</f>
        <v>0</v>
      </c>
      <c r="H7" s="129">
        <f>'PM (Расчеты)'!I15</f>
        <v>0</v>
      </c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32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</row>
    <row r="8" outlineLevel="1">
      <c r="A8" s="116">
        <v>4.0</v>
      </c>
      <c r="B8" s="125">
        <f>SUMPRODUCT(($A12:$A1002 = 4) * ('Оценка'!F12:F1002) * IF(LEN('Оценка'!$E$12:$E1002) = 0, 1, IF('Оценка'!$E$12:$E1002 = 0, 1, 'Оценка'!$E$12:$E1002)))
</f>
        <v>26.5</v>
      </c>
      <c r="C8" s="131">
        <f>SUMPRODUCT(($A12:$A1002 = 4) * ('Оценка'!G12:G1002) * IF(LEN('Оценка'!$E$12:$E1002) = 0, 1, IF('Оценка'!$E$12:$E1002 = 0, 1, 'Оценка'!$E$12:$E1002)))
</f>
        <v>41.5</v>
      </c>
      <c r="D8" s="134" t="s">
        <v>207</v>
      </c>
      <c r="E8" s="127">
        <v>10.0</v>
      </c>
      <c r="F8" s="128">
        <f>SUMPRODUCT(($A12:$A1002 = 10) * ('Оценка'!F12:F1002) * IF(LEN('Оценка'!$E$12:$E1002) = 0, 1, IF('Оценка'!$E$12:$E1002 = 0, 1, 'Оценка'!$E$12:$E1002)))
</f>
        <v>0</v>
      </c>
      <c r="G8" s="128">
        <f>SUMPRODUCT(($A12:$A1002 = 10) * ('Оценка'!G12:G1002) * IF(LEN('Оценка'!$E$12:$E1002) = 0, 1, IF('Оценка'!$E$12:$E1002 = 0, 1, 'Оценка'!$E$12:$E1002)))
</f>
        <v>0</v>
      </c>
      <c r="H8" s="129">
        <f>'PM (Расчеты)'!I16</f>
        <v>0</v>
      </c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6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</row>
    <row r="9" outlineLevel="1">
      <c r="A9" s="116">
        <v>5.0</v>
      </c>
      <c r="B9" s="131">
        <f>SUMPRODUCT(($A12:$A1002 = 5) * ('Оценка'!F12:F1002) * IF(LEN('Оценка'!$E$12:$E1002) = 0, 1, IF('Оценка'!$E$12:$E1002 = 0, 1, 'Оценка'!$E$12:$E1002)))
</f>
        <v>35</v>
      </c>
      <c r="C9" s="135">
        <f>SUMPRODUCT(($A12:$A1002 = 5) * ('Оценка'!G12:G1002) * IF(LEN('Оценка'!$E$12:$E1002) = 0, 1, IF('Оценка'!$E$12:$E1002 = 0, 1, 'Оценка'!$E$12:$E1002)))
</f>
        <v>44.5</v>
      </c>
      <c r="D9" s="126">
        <f>'PM (Расчеты)'!I11</f>
        <v>12.72</v>
      </c>
      <c r="E9" s="127">
        <v>11.0</v>
      </c>
      <c r="F9" s="128">
        <f>SUMPRODUCT(($A12:$A1002 = 11) * ('Оценка'!F12:F1002) * IF(LEN('Оценка'!$E$12:$E1002) = 0, 1, IF('Оценка'!$E$12:$E1002 = 0, 1, 'Оценка'!$E$12:$E1002)))
</f>
        <v>0</v>
      </c>
      <c r="G9" s="128">
        <f>SUMPRODUCT(($A12:$A1002 = 11) * ('Оценка'!G12:G1002) * IF(LEN('Оценка'!$E$12:$E1002) = 0, 1, IF('Оценка'!$E$12:$E1002 = 0, 1, 'Оценка'!$E$12:$E1002)))
</f>
        <v>0</v>
      </c>
      <c r="H9" s="129">
        <f>'PM (Расчеты)'!I17</f>
        <v>0</v>
      </c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27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</row>
    <row r="10" outlineLevel="1">
      <c r="A10" s="116">
        <v>6.0</v>
      </c>
      <c r="B10" s="135">
        <f>SUMPRODUCT(($A12:$A1002 = 6) * ('Оценка'!F12:F1002) * IF(LEN('Оценка'!$E$12:$E1002) = 0, 1, IF('Оценка'!$E$12:$E1002 = 0, 1, 'Оценка'!$E$12:$E1002)))
</f>
        <v>15</v>
      </c>
      <c r="C10" s="135">
        <f>SUMPRODUCT(($A12:$A1002 = 6) * ('Оценка'!G12:G1002) * IF(LEN('Оценка'!$E$12:$E1002) = 0, 1, IF('Оценка'!$E$12:$E1002 = 0, 1, 'Оценка'!$E$12:$E1002)))
</f>
        <v>15</v>
      </c>
      <c r="D10" s="126">
        <f>'PM (Расчеты)'!I12</f>
        <v>4.8</v>
      </c>
      <c r="E10" s="127">
        <v>12.0</v>
      </c>
      <c r="F10" s="128">
        <f>SUMPRODUCT(($A12:$A1002 = 12) * ('Оценка'!F12:F1002) * IF(LEN('Оценка'!$E$12:$E1002) = 0, 1, IF('Оценка'!$E$12:$E1002 = 0, 1, 'Оценка'!$E$12:$E1002)))
</f>
        <v>0</v>
      </c>
      <c r="G10" s="128">
        <f>SUMPRODUCT(($A12:$A1002 = 12) * ('Оценка'!G12:G1002) * IF(LEN('Оценка'!$E$12:$E1002) = 0, 1, IF('Оценка'!$E$12:$E1002 = 0, 1, 'Оценка'!$E$12:$E1002)))
</f>
        <v>0</v>
      </c>
      <c r="H10" s="129">
        <f>'PM (Расчеты)'!I18</f>
        <v>0</v>
      </c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</row>
    <row r="11">
      <c r="A11" s="122" t="s">
        <v>208</v>
      </c>
      <c r="B11" s="136" t="s">
        <v>209</v>
      </c>
      <c r="C11" s="123" t="s">
        <v>18</v>
      </c>
      <c r="D11" s="123" t="s">
        <v>19</v>
      </c>
      <c r="E11" s="123"/>
      <c r="F11" s="137" t="s">
        <v>210</v>
      </c>
      <c r="G11" s="138" t="s">
        <v>211</v>
      </c>
      <c r="H11" s="139" t="s">
        <v>212</v>
      </c>
      <c r="J11" s="116"/>
      <c r="K11" s="140"/>
      <c r="L11" s="141"/>
      <c r="M11" s="122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</row>
    <row r="12">
      <c r="A12" s="142"/>
      <c r="B12" s="142"/>
      <c r="C12" s="143" t="s">
        <v>213</v>
      </c>
      <c r="E12" s="142"/>
      <c r="F12" s="144"/>
      <c r="G12" s="145"/>
      <c r="H12" s="146" t="str">
        <f>IF(OR(ISBLANK('Оценка'!F12), ISBLANK('Оценка'!G12)), "", 
(AVERAGE(
  (
    ('Оценка'!F12 + 4*AVERAGE('Оценка'!F12:G12) + 'Оценка'!G12)/6 - 
    2*(('Оценка'!G12 - 'Оценка'!F12)/6)
  )/5 , 
  (
    ('Оценка'!F12 + 4*AVERAGE('Оценка'!F12:G12) + 'Оценка'!G12)/6 + 
    2*(('Оценка'!G12 - 'Оценка'!F12)/6)
  )/5
) * 
(
  (
    ('PM (Расчеты)'!$C$22/8 + 'PM (Расчеты)'!$C$23/40) + 
    'PM (Расчеты)'!$C$21/100 + 'PM (Расчеты)'!$C$25/100 + 
    'PM (Расчеты)'!$C$26/100
  ) + 1
))*5)
</f>
        <v/>
      </c>
      <c r="I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</row>
    <row r="13">
      <c r="A13" s="147">
        <v>1.0</v>
      </c>
      <c r="B13" s="148" t="s">
        <v>14</v>
      </c>
      <c r="C13" s="149" t="s">
        <v>21</v>
      </c>
      <c r="D13" s="149" t="s">
        <v>22</v>
      </c>
      <c r="E13" s="142"/>
      <c r="F13" s="150">
        <v>0.5</v>
      </c>
      <c r="G13" s="151">
        <v>1.0</v>
      </c>
      <c r="H13" s="146">
        <f>IF(OR(ISBLANK('Оценка'!F13), ISBLANK('Оценка'!G13)), "", 
(AVERAGE(
  (
    ('Оценка'!F13 + 4*AVERAGE('Оценка'!F13:G13) + 'Оценка'!G13)/6 - 
    2*(('Оценка'!G13 - 'Оценка'!F13)/6)
  )/5 , 
  (
    ('Оценка'!F13 + 4*AVERAGE('Оценка'!F13:G13) + 'Оценка'!G13)/6 + 
    2*(('Оценка'!G13 - 'Оценка'!F13)/6)
  )/5
) * 
(
  (
    ('PM (Расчеты)'!$C$22/8 + 'PM (Расчеты)'!$C$23/40) + 
    'PM (Расчеты)'!$C$21/100 + 'PM (Расчеты)'!$C$25/100 + 
    'PM (Расчеты)'!$C$26/100
  ) + 1
))*5)
</f>
        <v>1.2</v>
      </c>
      <c r="I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</row>
    <row r="14">
      <c r="A14" s="147">
        <v>1.0</v>
      </c>
      <c r="B14" s="148" t="s">
        <v>14</v>
      </c>
      <c r="C14" s="149" t="s">
        <v>23</v>
      </c>
      <c r="D14" s="149" t="s">
        <v>24</v>
      </c>
      <c r="E14" s="142"/>
      <c r="F14" s="150">
        <v>1.0</v>
      </c>
      <c r="G14" s="151">
        <v>2.0</v>
      </c>
      <c r="H14" s="146">
        <f>IF(OR(ISBLANK('Оценка'!F14), ISBLANK('Оценка'!G14)), "", 
(AVERAGE(
  (
    ('Оценка'!F14 + 4*AVERAGE('Оценка'!F14:G14) + 'Оценка'!G14)/6 - 
    2*(('Оценка'!G14 - 'Оценка'!F14)/6)
  )/5 , 
  (
    ('Оценка'!F14 + 4*AVERAGE('Оценка'!F14:G14) + 'Оценка'!G14)/6 + 
    2*(('Оценка'!G14 - 'Оценка'!F14)/6)
  )/5
) * 
(
  (
    ('PM (Расчеты)'!$C$22/8 + 'PM (Расчеты)'!$C$23/40) + 
    'PM (Расчеты)'!$C$21/100 + 'PM (Расчеты)'!$C$25/100 + 
    'PM (Расчеты)'!$C$26/100
  ) + 1
))*5)
</f>
        <v>2.4</v>
      </c>
      <c r="I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</row>
    <row r="15">
      <c r="A15" s="147">
        <v>1.0</v>
      </c>
      <c r="B15" s="148" t="s">
        <v>14</v>
      </c>
      <c r="C15" s="149" t="s">
        <v>25</v>
      </c>
      <c r="D15" s="149" t="s">
        <v>26</v>
      </c>
      <c r="E15" s="142"/>
      <c r="F15" s="150">
        <v>1.0</v>
      </c>
      <c r="G15" s="151">
        <v>2.0</v>
      </c>
      <c r="H15" s="146">
        <f>IF(OR(ISBLANK('Оценка'!F15), ISBLANK('Оценка'!G15)), "", 
(AVERAGE(
  (
    ('Оценка'!F15 + 4*AVERAGE('Оценка'!F15:G15) + 'Оценка'!G15)/6 - 
    2*(('Оценка'!G15 - 'Оценка'!F15)/6)
  )/5 , 
  (
    ('Оценка'!F15 + 4*AVERAGE('Оценка'!F15:G15) + 'Оценка'!G15)/6 + 
    2*(('Оценка'!G15 - 'Оценка'!F15)/6)
  )/5
) * 
(
  (
    ('PM (Расчеты)'!$C$22/8 + 'PM (Расчеты)'!$C$23/40) + 
    'PM (Расчеты)'!$C$21/100 + 'PM (Расчеты)'!$C$25/100 + 
    'PM (Расчеты)'!$C$26/100
  ) + 1
))*5)
</f>
        <v>2.4</v>
      </c>
      <c r="I15" s="133"/>
      <c r="N15" s="133"/>
      <c r="O15" s="152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</row>
    <row r="16">
      <c r="A16" s="147">
        <v>1.0</v>
      </c>
      <c r="B16" s="148" t="s">
        <v>14</v>
      </c>
      <c r="C16" s="149" t="s">
        <v>27</v>
      </c>
      <c r="D16" s="149" t="s">
        <v>28</v>
      </c>
      <c r="E16" s="142"/>
      <c r="F16" s="150">
        <v>1.0</v>
      </c>
      <c r="G16" s="151">
        <v>2.0</v>
      </c>
      <c r="H16" s="146">
        <f>IF(OR(ISBLANK('Оценка'!F16), ISBLANK('Оценка'!G16)), "", 
(AVERAGE(
  (
    ('Оценка'!F16 + 4*AVERAGE('Оценка'!F16:G16) + 'Оценка'!G16)/6 - 
    2*(('Оценка'!G16 - 'Оценка'!F16)/6)
  )/5 , 
  (
    ('Оценка'!F16 + 4*AVERAGE('Оценка'!F16:G16) + 'Оценка'!G16)/6 + 
    2*(('Оценка'!G16 - 'Оценка'!F16)/6)
  )/5
) * 
(
  (
    ('PM (Расчеты)'!$C$22/8 + 'PM (Расчеты)'!$C$23/40) + 
    'PM (Расчеты)'!$C$21/100 + 'PM (Расчеты)'!$C$25/100 + 
    'PM (Расчеты)'!$C$26/100
  ) + 1
))*5)
</f>
        <v>2.4</v>
      </c>
      <c r="I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</row>
    <row r="17">
      <c r="A17" s="147">
        <v>1.0</v>
      </c>
      <c r="B17" s="148" t="s">
        <v>14</v>
      </c>
      <c r="C17" s="149" t="s">
        <v>29</v>
      </c>
      <c r="D17" s="149" t="s">
        <v>30</v>
      </c>
      <c r="E17" s="142"/>
      <c r="F17" s="150">
        <v>1.0</v>
      </c>
      <c r="G17" s="151">
        <v>2.0</v>
      </c>
      <c r="H17" s="146">
        <f>IF(OR(ISBLANK('Оценка'!F17), ISBLANK('Оценка'!G17)), "", 
(AVERAGE(
  (
    ('Оценка'!F17 + 4*AVERAGE('Оценка'!F17:G17) + 'Оценка'!G17)/6 - 
    2*(('Оценка'!G17 - 'Оценка'!F17)/6)
  )/5 , 
  (
    ('Оценка'!F17 + 4*AVERAGE('Оценка'!F17:G17) + 'Оценка'!G17)/6 + 
    2*(('Оценка'!G17 - 'Оценка'!F17)/6)
  )/5
) * 
(
  (
    ('PM (Расчеты)'!$C$22/8 + 'PM (Расчеты)'!$C$23/40) + 
    'PM (Расчеты)'!$C$21/100 + 'PM (Расчеты)'!$C$25/100 + 
    'PM (Расчеты)'!$C$26/100
  ) + 1
))*5)
</f>
        <v>2.4</v>
      </c>
      <c r="I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</row>
    <row r="18">
      <c r="A18" s="147">
        <v>1.0</v>
      </c>
      <c r="B18" s="148" t="s">
        <v>14</v>
      </c>
      <c r="C18" s="149" t="s">
        <v>31</v>
      </c>
      <c r="D18" s="149" t="s">
        <v>32</v>
      </c>
      <c r="E18" s="142"/>
      <c r="F18" s="150">
        <v>2.0</v>
      </c>
      <c r="G18" s="151">
        <v>3.0</v>
      </c>
      <c r="H18" s="146">
        <f>IF(OR(ISBLANK('Оценка'!F18), ISBLANK('Оценка'!G18)), "", 
(AVERAGE(
  (
    ('Оценка'!F18 + 4*AVERAGE('Оценка'!F18:G18) + 'Оценка'!G18)/6 - 
    2*(('Оценка'!G18 - 'Оценка'!F18)/6)
  )/5 , 
  (
    ('Оценка'!F18 + 4*AVERAGE('Оценка'!F18:G18) + 'Оценка'!G18)/6 + 
    2*(('Оценка'!G18 - 'Оценка'!F18)/6)
  )/5
) * 
(
  (
    ('PM (Расчеты)'!$C$22/8 + 'PM (Расчеты)'!$C$23/40) + 
    'PM (Расчеты)'!$C$21/100 + 'PM (Расчеты)'!$C$25/100 + 
    'PM (Расчеты)'!$C$26/100
  ) + 1
))*5)
</f>
        <v>4</v>
      </c>
      <c r="I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</row>
    <row r="19">
      <c r="A19" s="147">
        <v>1.0</v>
      </c>
      <c r="B19" s="148" t="s">
        <v>14</v>
      </c>
      <c r="C19" s="149" t="s">
        <v>33</v>
      </c>
      <c r="D19" s="149" t="s">
        <v>34</v>
      </c>
      <c r="E19" s="142"/>
      <c r="F19" s="150">
        <v>2.0</v>
      </c>
      <c r="G19" s="151">
        <v>3.0</v>
      </c>
      <c r="H19" s="146">
        <f>IF(OR(ISBLANK('Оценка'!F19), ISBLANK('Оценка'!G19)), "", 
(AVERAGE(
  (
    ('Оценка'!F19 + 4*AVERAGE('Оценка'!F19:G19) + 'Оценка'!G19)/6 - 
    2*(('Оценка'!G19 - 'Оценка'!F19)/6)
  )/5 , 
  (
    ('Оценка'!F19 + 4*AVERAGE('Оценка'!F19:G19) + 'Оценка'!G19)/6 + 
    2*(('Оценка'!G19 - 'Оценка'!F19)/6)
  )/5
) * 
(
  (
    ('PM (Расчеты)'!$C$22/8 + 'PM (Расчеты)'!$C$23/40) + 
    'PM (Расчеты)'!$C$21/100 + 'PM (Расчеты)'!$C$25/100 + 
    'PM (Расчеты)'!$C$26/100
  ) + 1
))*5)
</f>
        <v>4</v>
      </c>
      <c r="I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</row>
    <row r="20">
      <c r="A20" s="147">
        <v>1.0</v>
      </c>
      <c r="B20" s="148" t="s">
        <v>14</v>
      </c>
      <c r="C20" s="149" t="s">
        <v>35</v>
      </c>
      <c r="D20" s="149"/>
      <c r="E20" s="142"/>
      <c r="F20" s="150">
        <v>2.0</v>
      </c>
      <c r="G20" s="153">
        <v>2.0</v>
      </c>
      <c r="H20" s="146">
        <f>IF(OR(ISBLANK('Оценка'!F20), ISBLANK('Оценка'!G20)), "", 
(AVERAGE(
  (
    ('Оценка'!F20 + 4*AVERAGE('Оценка'!F20:G20) + 'Оценка'!G20)/6 - 
    2*(('Оценка'!G20 - 'Оценка'!F20)/6)
  )/5 , 
  (
    ('Оценка'!F20 + 4*AVERAGE('Оценка'!F20:G20) + 'Оценка'!G20)/6 + 
    2*(('Оценка'!G20 - 'Оценка'!F20)/6)
  )/5
) * 
(
  (
    ('PM (Расчеты)'!$C$22/8 + 'PM (Расчеты)'!$C$23/40) + 
    'PM (Расчеты)'!$C$21/100 + 'PM (Расчеты)'!$C$25/100 + 
    'PM (Расчеты)'!$C$26/100
  ) + 1
))*5)
</f>
        <v>3.2</v>
      </c>
      <c r="I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</row>
    <row r="21">
      <c r="A21" s="142"/>
      <c r="B21" s="142"/>
      <c r="C21" s="154" t="s">
        <v>214</v>
      </c>
      <c r="E21" s="142"/>
      <c r="F21" s="144"/>
      <c r="G21" s="145"/>
      <c r="H21" s="146" t="str">
        <f>IF(OR(ISBLANK('Оценка'!F21), ISBLANK('Оценка'!G21)), "", 
(AVERAGE(
  (
    ('Оценка'!F21 + 4*AVERAGE('Оценка'!F21:G21) + 'Оценка'!G21)/6 - 
    2*(('Оценка'!G21 - 'Оценка'!F21)/6)
  )/5 , 
  (
    ('Оценка'!F21 + 4*AVERAGE('Оценка'!F21:G21) + 'Оценка'!G21)/6 + 
    2*(('Оценка'!G21 - 'Оценка'!F21)/6)
  )/5
) * 
(
  (
    ('PM (Расчеты)'!$C$22/8 + 'PM (Расчеты)'!$C$23/40) + 
    'PM (Расчеты)'!$C$21/100 + 'PM (Расчеты)'!$C$25/100 + 
    'PM (Расчеты)'!$C$26/100
  ) + 1
))*5)
</f>
        <v/>
      </c>
      <c r="I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</row>
    <row r="22">
      <c r="A22" s="147">
        <v>2.0</v>
      </c>
      <c r="B22" s="148" t="s">
        <v>10</v>
      </c>
      <c r="C22" s="149" t="s">
        <v>36</v>
      </c>
      <c r="D22" s="149" t="s">
        <v>37</v>
      </c>
      <c r="E22" s="142"/>
      <c r="F22" s="150">
        <v>1.0</v>
      </c>
      <c r="G22" s="151">
        <v>1.5</v>
      </c>
      <c r="H22" s="146">
        <f>IF(OR(ISBLANK('Оценка'!F22), ISBLANK('Оценка'!G22)), "", 
(AVERAGE(
  (
    ('Оценка'!F22 + 4*AVERAGE('Оценка'!F22:G22) + 'Оценка'!G22)/6 - 
    2*(('Оценка'!G22 - 'Оценка'!F22)/6)
  )/5 , 
  (
    ('Оценка'!F22 + 4*AVERAGE('Оценка'!F22:G22) + 'Оценка'!G22)/6 + 
    2*(('Оценка'!G22 - 'Оценка'!F22)/6)
  )/5
) * 
(
  (
    ('PM (Расчеты)'!$C$22/8 + 'PM (Расчеты)'!$C$23/40) + 
    'PM (Расчеты)'!$C$21/100 + 'PM (Расчеты)'!$C$25/100 + 
    'PM (Расчеты)'!$C$26/100
  ) + 1
))*5)
</f>
        <v>2</v>
      </c>
      <c r="I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</row>
    <row r="23">
      <c r="A23" s="147">
        <v>2.0</v>
      </c>
      <c r="B23" s="148" t="s">
        <v>10</v>
      </c>
      <c r="C23" s="149" t="s">
        <v>38</v>
      </c>
      <c r="D23" s="149" t="s">
        <v>39</v>
      </c>
      <c r="E23" s="155"/>
      <c r="F23" s="150">
        <v>2.0</v>
      </c>
      <c r="G23" s="151">
        <v>3.0</v>
      </c>
      <c r="H23" s="146">
        <f>IF(OR(ISBLANK('Оценка'!F23), ISBLANK('Оценка'!G23)), "", 
(AVERAGE(
  (
    ('Оценка'!F23 + 4*AVERAGE('Оценка'!F23:G23) + 'Оценка'!G23)/6 - 
    2*(('Оценка'!G23 - 'Оценка'!F23)/6)
  )/5 , 
  (
    ('Оценка'!F23 + 4*AVERAGE('Оценка'!F23:G23) + 'Оценка'!G23)/6 + 
    2*(('Оценка'!G23 - 'Оценка'!F23)/6)
  )/5
) * 
(
  (
    ('PM (Расчеты)'!$C$22/8 + 'PM (Расчеты)'!$C$23/40) + 
    'PM (Расчеты)'!$C$21/100 + 'PM (Расчеты)'!$C$25/100 + 
    'PM (Расчеты)'!$C$26/100
  ) + 1
))*5)
</f>
        <v>4</v>
      </c>
      <c r="I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</row>
    <row r="24">
      <c r="A24" s="147">
        <v>2.0</v>
      </c>
      <c r="B24" s="148" t="s">
        <v>10</v>
      </c>
      <c r="C24" s="149" t="s">
        <v>40</v>
      </c>
      <c r="D24" s="149" t="s">
        <v>41</v>
      </c>
      <c r="E24" s="155"/>
      <c r="F24" s="150">
        <v>1.5</v>
      </c>
      <c r="G24" s="151">
        <v>2.5</v>
      </c>
      <c r="H24" s="146">
        <f>IF(OR(ISBLANK('Оценка'!F24), ISBLANK('Оценка'!G24)), "", 
(AVERAGE(
  (
    ('Оценка'!F24 + 4*AVERAGE('Оценка'!F24:G24) + 'Оценка'!G24)/6 - 
    2*(('Оценка'!G24 - 'Оценка'!F24)/6)
  )/5 , 
  (
    ('Оценка'!F24 + 4*AVERAGE('Оценка'!F24:G24) + 'Оценка'!G24)/6 + 
    2*(('Оценка'!G24 - 'Оценка'!F24)/6)
  )/5
) * 
(
  (
    ('PM (Расчеты)'!$C$22/8 + 'PM (Расчеты)'!$C$23/40) + 
    'PM (Расчеты)'!$C$21/100 + 'PM (Расчеты)'!$C$25/100 + 
    'PM (Расчеты)'!$C$26/100
  ) + 1
))*5)
</f>
        <v>3.2</v>
      </c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</row>
    <row r="25">
      <c r="A25" s="147">
        <v>2.0</v>
      </c>
      <c r="B25" s="148" t="s">
        <v>10</v>
      </c>
      <c r="C25" s="149" t="s">
        <v>42</v>
      </c>
      <c r="D25" s="149" t="s">
        <v>43</v>
      </c>
      <c r="E25" s="155"/>
      <c r="F25" s="150">
        <v>0.5</v>
      </c>
      <c r="G25" s="151">
        <v>0.5</v>
      </c>
      <c r="H25" s="146">
        <f>IF(OR(ISBLANK('Оценка'!F25), ISBLANK('Оценка'!G25)), "", 
(AVERAGE(
  (
    ('Оценка'!F25 + 4*AVERAGE('Оценка'!F25:G25) + 'Оценка'!G25)/6 - 
    2*(('Оценка'!G25 - 'Оценка'!F25)/6)
  )/5 , 
  (
    ('Оценка'!F25 + 4*AVERAGE('Оценка'!F25:G25) + 'Оценка'!G25)/6 + 
    2*(('Оценка'!G25 - 'Оценка'!F25)/6)
  )/5
) * 
(
  (
    ('PM (Расчеты)'!$C$22/8 + 'PM (Расчеты)'!$C$23/40) + 
    'PM (Расчеты)'!$C$21/100 + 'PM (Расчеты)'!$C$25/100 + 
    'PM (Расчеты)'!$C$26/100
  ) + 1
))*5)
</f>
        <v>0.8</v>
      </c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</row>
    <row r="26">
      <c r="A26" s="147">
        <v>2.0</v>
      </c>
      <c r="B26" s="148" t="s">
        <v>10</v>
      </c>
      <c r="C26" s="149" t="s">
        <v>44</v>
      </c>
      <c r="D26" s="149" t="s">
        <v>45</v>
      </c>
      <c r="E26" s="155"/>
      <c r="F26" s="150">
        <v>2.0</v>
      </c>
      <c r="G26" s="153">
        <v>2.0</v>
      </c>
      <c r="H26" s="146">
        <f>IF(OR(ISBLANK('Оценка'!F26), ISBLANK('Оценка'!G26)), "", 
(AVERAGE(
  (
    ('Оценка'!F26 + 4*AVERAGE('Оценка'!F26:G26) + 'Оценка'!G26)/6 - 
    2*(('Оценка'!G26 - 'Оценка'!F26)/6)
  )/5 , 
  (
    ('Оценка'!F26 + 4*AVERAGE('Оценка'!F26:G26) + 'Оценка'!G26)/6 + 
    2*(('Оценка'!G26 - 'Оценка'!F26)/6)
  )/5
) * 
(
  (
    ('PM (Расчеты)'!$C$22/8 + 'PM (Расчеты)'!$C$23/40) + 
    'PM (Расчеты)'!$C$21/100 + 'PM (Расчеты)'!$C$25/100 + 
    'PM (Расчеты)'!$C$26/100
  ) + 1
))*5)
</f>
        <v>3.2</v>
      </c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</row>
    <row r="27">
      <c r="A27" s="147">
        <v>2.0</v>
      </c>
      <c r="B27" s="148" t="s">
        <v>10</v>
      </c>
      <c r="C27" s="149" t="s">
        <v>46</v>
      </c>
      <c r="D27" s="149" t="s">
        <v>47</v>
      </c>
      <c r="E27" s="155"/>
      <c r="F27" s="156">
        <v>1.0</v>
      </c>
      <c r="G27" s="153">
        <v>1.0</v>
      </c>
      <c r="H27" s="146">
        <f>IF(OR(ISBLANK('Оценка'!F27), ISBLANK('Оценка'!G27)), "", 
(AVERAGE(
  (
    ('Оценка'!F27 + 4*AVERAGE('Оценка'!F27:G27) + 'Оценка'!G27)/6 - 
    2*(('Оценка'!G27 - 'Оценка'!F27)/6)
  )/5 , 
  (
    ('Оценка'!F27 + 4*AVERAGE('Оценка'!F27:G27) + 'Оценка'!G27)/6 + 
    2*(('Оценка'!G27 - 'Оценка'!F27)/6)
  )/5
) * 
(
  (
    ('PM (Расчеты)'!$C$22/8 + 'PM (Расчеты)'!$C$23/40) + 
    'PM (Расчеты)'!$C$21/100 + 'PM (Расчеты)'!$C$25/100 + 
    'PM (Расчеты)'!$C$26/100
  ) + 1
))*5)
</f>
        <v>1.6</v>
      </c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</row>
    <row r="28">
      <c r="A28" s="142"/>
      <c r="B28" s="142"/>
      <c r="C28" s="154" t="s">
        <v>215</v>
      </c>
      <c r="E28" s="142"/>
      <c r="F28" s="157"/>
      <c r="G28" s="157"/>
      <c r="H28" s="146" t="str">
        <f>IF(OR(ISBLANK('Оценка'!F28), ISBLANK('Оценка'!G28)), "", 
(AVERAGE(
  (
    ('Оценка'!F28 + 4*AVERAGE('Оценка'!F28:G28) + 'Оценка'!G28)/6 - 
    2*(('Оценка'!G28 - 'Оценка'!F28)/6)
  )/5 , 
  (
    ('Оценка'!F28 + 4*AVERAGE('Оценка'!F28:G28) + 'Оценка'!G28)/6 + 
    2*(('Оценка'!G28 - 'Оценка'!F28)/6)
  )/5
) * 
(
  (
    ('PM (Расчеты)'!$C$22/8 + 'PM (Расчеты)'!$C$23/40) + 
    'PM (Расчеты)'!$C$21/100 + 'PM (Расчеты)'!$C$25/100 + 
    'PM (Расчеты)'!$C$26/100
  ) + 1
))*5)
</f>
        <v/>
      </c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</row>
    <row r="29">
      <c r="A29" s="147">
        <v>3.0</v>
      </c>
      <c r="B29" s="148" t="s">
        <v>11</v>
      </c>
      <c r="C29" s="149" t="s">
        <v>48</v>
      </c>
      <c r="D29" s="149" t="s">
        <v>49</v>
      </c>
      <c r="E29" s="142"/>
      <c r="F29" s="150">
        <v>2.0</v>
      </c>
      <c r="G29" s="151">
        <v>3.0</v>
      </c>
      <c r="H29" s="146">
        <f>IF(OR(ISBLANK('Оценка'!F29), ISBLANK('Оценка'!G29)), "", 
(AVERAGE(
  (
    ('Оценка'!F29 + 4*AVERAGE('Оценка'!F29:G29) + 'Оценка'!G29)/6 - 
    2*(('Оценка'!G29 - 'Оценка'!F29)/6)
  )/5 , 
  (
    ('Оценка'!F29 + 4*AVERAGE('Оценка'!F29:G29) + 'Оценка'!G29)/6 + 
    2*(('Оценка'!G29 - 'Оценка'!F29)/6)
  )/5
) * 
(
  (
    ('PM (Расчеты)'!$C$22/8 + 'PM (Расчеты)'!$C$23/40) + 
    'PM (Расчеты)'!$C$21/100 + 'PM (Расчеты)'!$C$25/100 + 
    'PM (Расчеты)'!$C$26/100
  ) + 1
))*5)
</f>
        <v>4</v>
      </c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</row>
    <row r="30">
      <c r="A30" s="147">
        <v>3.0</v>
      </c>
      <c r="B30" s="148" t="s">
        <v>11</v>
      </c>
      <c r="C30" s="149" t="s">
        <v>50</v>
      </c>
      <c r="D30" s="149" t="s">
        <v>51</v>
      </c>
      <c r="E30" s="142"/>
      <c r="F30" s="156">
        <v>2.0</v>
      </c>
      <c r="G30" s="153">
        <v>3.0</v>
      </c>
      <c r="H30" s="146">
        <f>IF(OR(ISBLANK('Оценка'!F30), ISBLANK('Оценка'!G30)), "", 
(AVERAGE(
  (
    ('Оценка'!F30 + 4*AVERAGE('Оценка'!F30:G30) + 'Оценка'!G30)/6 - 
    2*(('Оценка'!G30 - 'Оценка'!F30)/6)
  )/5 , 
  (
    ('Оценка'!F30 + 4*AVERAGE('Оценка'!F30:G30) + 'Оценка'!G30)/6 + 
    2*(('Оценка'!G30 - 'Оценка'!F30)/6)
  )/5
) * 
(
  (
    ('PM (Расчеты)'!$C$22/8 + 'PM (Расчеты)'!$C$23/40) + 
    'PM (Расчеты)'!$C$21/100 + 'PM (Расчеты)'!$C$25/100 + 
    'PM (Расчеты)'!$C$26/100
  ) + 1
))*5)
</f>
        <v>4</v>
      </c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</row>
    <row r="31">
      <c r="A31" s="158">
        <v>4.0</v>
      </c>
      <c r="B31" s="148" t="s">
        <v>11</v>
      </c>
      <c r="C31" s="149" t="s">
        <v>52</v>
      </c>
      <c r="D31" s="149" t="s">
        <v>53</v>
      </c>
      <c r="E31" s="142"/>
      <c r="F31" s="156">
        <v>2.0</v>
      </c>
      <c r="G31" s="153">
        <v>3.0</v>
      </c>
      <c r="H31" s="146">
        <f>IF(OR(ISBLANK('Оценка'!F31), ISBLANK('Оценка'!G31)), "", 
(AVERAGE(
  (
    ('Оценка'!F31 + 4*AVERAGE('Оценка'!F31:G31) + 'Оценка'!G31)/6 - 
    2*(('Оценка'!G31 - 'Оценка'!F31)/6)
  )/5 , 
  (
    ('Оценка'!F31 + 4*AVERAGE('Оценка'!F31:G31) + 'Оценка'!G31)/6 + 
    2*(('Оценка'!G31 - 'Оценка'!F31)/6)
  )/5
) * 
(
  (
    ('PM (Расчеты)'!$C$22/8 + 'PM (Расчеты)'!$C$23/40) + 
    'PM (Расчеты)'!$C$21/100 + 'PM (Расчеты)'!$C$25/100 + 
    'PM (Расчеты)'!$C$26/100
  ) + 1
))*5)
</f>
        <v>4</v>
      </c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</row>
    <row r="32">
      <c r="A32" s="147">
        <v>3.0</v>
      </c>
      <c r="B32" s="148" t="s">
        <v>11</v>
      </c>
      <c r="C32" s="149" t="s">
        <v>54</v>
      </c>
      <c r="D32" s="149" t="s">
        <v>55</v>
      </c>
      <c r="E32" s="142"/>
      <c r="F32" s="150">
        <v>1.0</v>
      </c>
      <c r="G32" s="153">
        <v>2.0</v>
      </c>
      <c r="H32" s="146">
        <f>IF(OR(ISBLANK('Оценка'!F32), ISBLANK('Оценка'!G32)), "", 
(AVERAGE(
  (
    ('Оценка'!F32 + 4*AVERAGE('Оценка'!F32:G32) + 'Оценка'!G32)/6 - 
    2*(('Оценка'!G32 - 'Оценка'!F32)/6)
  )/5 , 
  (
    ('Оценка'!F32 + 4*AVERAGE('Оценка'!F32:G32) + 'Оценка'!G32)/6 + 
    2*(('Оценка'!G32 - 'Оценка'!F32)/6)
  )/5
) * 
(
  (
    ('PM (Расчеты)'!$C$22/8 + 'PM (Расчеты)'!$C$23/40) + 
    'PM (Расчеты)'!$C$21/100 + 'PM (Расчеты)'!$C$25/100 + 
    'PM (Расчеты)'!$C$26/100
  ) + 1
))*5)
</f>
        <v>2.4</v>
      </c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</row>
    <row r="33">
      <c r="A33" s="142"/>
      <c r="B33" s="142"/>
      <c r="C33" s="159" t="s">
        <v>216</v>
      </c>
      <c r="E33" s="142"/>
      <c r="F33" s="157"/>
      <c r="G33" s="160"/>
      <c r="H33" s="146" t="str">
        <f>IF(OR(ISBLANK('Оценка'!F33), ISBLANK('Оценка'!G33)), "", 
(AVERAGE(
  (
    ('Оценка'!F33 + 4*AVERAGE('Оценка'!F33:G33) + 'Оценка'!G33)/6 - 
    2*(('Оценка'!G33 - 'Оценка'!F33)/6)
  )/5 , 
  (
    ('Оценка'!F33 + 4*AVERAGE('Оценка'!F33:G33) + 'Оценка'!G33)/6 + 
    2*(('Оценка'!G33 - 'Оценка'!F33)/6)
  )/5
) * 
(
  (
    ('PM (Расчеты)'!$C$22/8 + 'PM (Расчеты)'!$C$23/40) + 
    'PM (Расчеты)'!$C$21/100 + 'PM (Расчеты)'!$C$25/100 + 
    'PM (Расчеты)'!$C$26/100
  ) + 1
))*5)
</f>
        <v/>
      </c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</row>
    <row r="34">
      <c r="A34" s="158">
        <v>4.0</v>
      </c>
      <c r="B34" s="148" t="s">
        <v>11</v>
      </c>
      <c r="C34" s="149" t="s">
        <v>56</v>
      </c>
      <c r="D34" s="149" t="s">
        <v>57</v>
      </c>
      <c r="E34" s="142"/>
      <c r="F34" s="150">
        <v>1.5</v>
      </c>
      <c r="G34" s="151">
        <v>2.5</v>
      </c>
      <c r="H34" s="146">
        <f>IF(OR(ISBLANK('Оценка'!F34), ISBLANK('Оценка'!G34)), "", 
(AVERAGE(
  (
    ('Оценка'!F34 + 4*AVERAGE('Оценка'!F34:G34) + 'Оценка'!G34)/6 - 
    2*(('Оценка'!G34 - 'Оценка'!F34)/6)
  )/5 , 
  (
    ('Оценка'!F34 + 4*AVERAGE('Оценка'!F34:G34) + 'Оценка'!G34)/6 + 
    2*(('Оценка'!G34 - 'Оценка'!F34)/6)
  )/5
) * 
(
  (
    ('PM (Расчеты)'!$C$22/8 + 'PM (Расчеты)'!$C$23/40) + 
    'PM (Расчеты)'!$C$21/100 + 'PM (Расчеты)'!$C$25/100 + 
    'PM (Расчеты)'!$C$26/100
  ) + 1
))*5)
</f>
        <v>3.2</v>
      </c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</row>
    <row r="35">
      <c r="A35" s="158">
        <v>4.0</v>
      </c>
      <c r="B35" s="142" t="s">
        <v>11</v>
      </c>
      <c r="C35" s="149" t="s">
        <v>58</v>
      </c>
      <c r="D35" s="149" t="s">
        <v>59</v>
      </c>
      <c r="E35" s="142"/>
      <c r="F35" s="156">
        <v>2.5</v>
      </c>
      <c r="G35" s="153">
        <v>3.5</v>
      </c>
      <c r="H35" s="146">
        <f>IF(OR(ISBLANK('Оценка'!F35), ISBLANK('Оценка'!G35)), "", 
(AVERAGE(
  (
    ('Оценка'!F35 + 4*AVERAGE('Оценка'!F35:G35) + 'Оценка'!G35)/6 - 
    2*(('Оценка'!G35 - 'Оценка'!F35)/6)
  )/5 , 
  (
    ('Оценка'!F35 + 4*AVERAGE('Оценка'!F35:G35) + 'Оценка'!G35)/6 + 
    2*(('Оценка'!G35 - 'Оценка'!F35)/6)
  )/5
) * 
(
  (
    ('PM (Расчеты)'!$C$22/8 + 'PM (Расчеты)'!$C$23/40) + 
    'PM (Расчеты)'!$C$21/100 + 'PM (Расчеты)'!$C$25/100 + 
    'PM (Расчеты)'!$C$26/100
  ) + 1
))*5)
</f>
        <v>4.8</v>
      </c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</row>
    <row r="36">
      <c r="A36" s="158">
        <v>4.0</v>
      </c>
      <c r="B36" s="142" t="s">
        <v>11</v>
      </c>
      <c r="C36" s="149" t="s">
        <v>60</v>
      </c>
      <c r="D36" s="149" t="s">
        <v>61</v>
      </c>
      <c r="E36" s="142"/>
      <c r="F36" s="150">
        <v>2.0</v>
      </c>
      <c r="G36" s="151">
        <v>3.0</v>
      </c>
      <c r="H36" s="146">
        <f>IF(OR(ISBLANK('Оценка'!F36), ISBLANK('Оценка'!G36)), "", 
(AVERAGE(
  (
    ('Оценка'!F36 + 4*AVERAGE('Оценка'!F36:G36) + 'Оценка'!G36)/6 - 
    2*(('Оценка'!G36 - 'Оценка'!F36)/6)
  )/5 , 
  (
    ('Оценка'!F36 + 4*AVERAGE('Оценка'!F36:G36) + 'Оценка'!G36)/6 + 
    2*(('Оценка'!G36 - 'Оценка'!F36)/6)
  )/5
) * 
(
  (
    ('PM (Расчеты)'!$C$22/8 + 'PM (Расчеты)'!$C$23/40) + 
    'PM (Расчеты)'!$C$21/100 + 'PM (Расчеты)'!$C$25/100 + 
    'PM (Расчеты)'!$C$26/100
  ) + 1
))*5)
</f>
        <v>4</v>
      </c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</row>
    <row r="37">
      <c r="A37" s="142"/>
      <c r="B37" s="142"/>
      <c r="C37" s="161" t="s">
        <v>217</v>
      </c>
      <c r="E37" s="142"/>
      <c r="F37" s="162"/>
      <c r="G37" s="163"/>
      <c r="H37" s="146" t="str">
        <f>IF(OR(ISBLANK('Оценка'!F37), ISBLANK('Оценка'!G37)), "", 
(AVERAGE(
  (
    ('Оценка'!F37 + 4*AVERAGE('Оценка'!F37:G37) + 'Оценка'!G37)/6 - 
    2*(('Оценка'!G37 - 'Оценка'!F37)/6)
  )/5 , 
  (
    ('Оценка'!F37 + 4*AVERAGE('Оценка'!F37:G37) + 'Оценка'!G37)/6 + 
    2*(('Оценка'!G37 - 'Оценка'!F37)/6)
  )/5
) * 
(
  (
    ('PM (Расчеты)'!$C$22/8 + 'PM (Расчеты)'!$C$23/40) + 
    'PM (Расчеты)'!$C$21/100 + 'PM (Расчеты)'!$C$25/100 + 
    'PM (Расчеты)'!$C$26/100
  ) + 1
))*5)
</f>
        <v/>
      </c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</row>
    <row r="38">
      <c r="A38" s="164">
        <v>3.0</v>
      </c>
      <c r="B38" s="142" t="s">
        <v>11</v>
      </c>
      <c r="C38" s="149" t="s">
        <v>56</v>
      </c>
      <c r="D38" s="149" t="s">
        <v>62</v>
      </c>
      <c r="E38" s="165"/>
      <c r="F38" s="150">
        <v>1.0</v>
      </c>
      <c r="G38" s="151">
        <v>2.0</v>
      </c>
      <c r="H38" s="146">
        <f>IF(OR(ISBLANK('Оценка'!F38), ISBLANK('Оценка'!G38)), "", 
(AVERAGE(
  (
    ('Оценка'!F38 + 4*AVERAGE('Оценка'!F38:G38) + 'Оценка'!G38)/6 - 
    2*(('Оценка'!G38 - 'Оценка'!F38)/6)
  )/5 , 
  (
    ('Оценка'!F38 + 4*AVERAGE('Оценка'!F38:G38) + 'Оценка'!G38)/6 + 
    2*(('Оценка'!G38 - 'Оценка'!F38)/6)
  )/5
) * 
(
  (
    ('PM (Расчеты)'!$C$22/8 + 'PM (Расчеты)'!$C$23/40) + 
    'PM (Расчеты)'!$C$21/100 + 'PM (Расчеты)'!$C$25/100 + 
    'PM (Расчеты)'!$C$26/100
  ) + 1
))*5)
</f>
        <v>2.4</v>
      </c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</row>
    <row r="39">
      <c r="A39" s="164">
        <v>3.0</v>
      </c>
      <c r="B39" s="142" t="s">
        <v>11</v>
      </c>
      <c r="C39" s="149" t="s">
        <v>63</v>
      </c>
      <c r="D39" s="166" t="s">
        <v>64</v>
      </c>
      <c r="E39" s="165"/>
      <c r="F39" s="150">
        <v>3.0</v>
      </c>
      <c r="G39" s="153">
        <v>4.5</v>
      </c>
      <c r="H39" s="146">
        <f>IF(OR(ISBLANK('Оценка'!F39), ISBLANK('Оценка'!G39)), "", 
(AVERAGE(
  (
    ('Оценка'!F39 + 4*AVERAGE('Оценка'!F39:G39) + 'Оценка'!G39)/6 - 
    2*(('Оценка'!G39 - 'Оценка'!F39)/6)
  )/5 , 
  (
    ('Оценка'!F39 + 4*AVERAGE('Оценка'!F39:G39) + 'Оценка'!G39)/6 + 
    2*(('Оценка'!G39 - 'Оценка'!F39)/6)
  )/5
) * 
(
  (
    ('PM (Расчеты)'!$C$22/8 + 'PM (Расчеты)'!$C$23/40) + 
    'PM (Расчеты)'!$C$21/100 + 'PM (Расчеты)'!$C$25/100 + 
    'PM (Расчеты)'!$C$26/100
  ) + 1
))*5)
</f>
        <v>6</v>
      </c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</row>
    <row r="40">
      <c r="A40" s="164">
        <v>3.0</v>
      </c>
      <c r="B40" s="142" t="s">
        <v>11</v>
      </c>
      <c r="C40" s="149" t="s">
        <v>65</v>
      </c>
      <c r="D40" s="166" t="s">
        <v>66</v>
      </c>
      <c r="E40" s="165"/>
      <c r="F40" s="156">
        <v>3.0</v>
      </c>
      <c r="G40" s="153">
        <v>4.5</v>
      </c>
      <c r="H40" s="146">
        <f>IF(OR(ISBLANK('Оценка'!F40), ISBLANK('Оценка'!G40)), "", 
(AVERAGE(
  (
    ('Оценка'!F40 + 4*AVERAGE('Оценка'!F40:G40) + 'Оценка'!G40)/6 - 
    2*(('Оценка'!G40 - 'Оценка'!F40)/6)
  )/5 , 
  (
    ('Оценка'!F40 + 4*AVERAGE('Оценка'!F40:G40) + 'Оценка'!G40)/6 + 
    2*(('Оценка'!G40 - 'Оценка'!F40)/6)
  )/5
) * 
(
  (
    ('PM (Расчеты)'!$C$22/8 + 'PM (Расчеты)'!$C$23/40) + 
    'PM (Расчеты)'!$C$21/100 + 'PM (Расчеты)'!$C$25/100 + 
    'PM (Расчеты)'!$C$26/100
  ) + 1
))*5)
</f>
        <v>6</v>
      </c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</row>
    <row r="41">
      <c r="A41" s="164">
        <v>3.0</v>
      </c>
      <c r="B41" s="142" t="s">
        <v>11</v>
      </c>
      <c r="C41" s="149" t="s">
        <v>67</v>
      </c>
      <c r="D41" s="149" t="s">
        <v>68</v>
      </c>
      <c r="E41" s="165"/>
      <c r="F41" s="150">
        <v>3.0</v>
      </c>
      <c r="G41" s="151">
        <v>5.0</v>
      </c>
      <c r="H41" s="146">
        <f>IF(OR(ISBLANK('Оценка'!F41), ISBLANK('Оценка'!G41)), "", 
(AVERAGE(
  (
    ('Оценка'!F41 + 4*AVERAGE('Оценка'!F41:G41) + 'Оценка'!G41)/6 - 
    2*(('Оценка'!G41 - 'Оценка'!F41)/6)
  )/5 , 
  (
    ('Оценка'!F41 + 4*AVERAGE('Оценка'!F41:G41) + 'Оценка'!G41)/6 + 
    2*(('Оценка'!G41 - 'Оценка'!F41)/6)
  )/5
) * 
(
  (
    ('PM (Расчеты)'!$C$22/8 + 'PM (Расчеты)'!$C$23/40) + 
    'PM (Расчеты)'!$C$21/100 + 'PM (Расчеты)'!$C$25/100 + 
    'PM (Расчеты)'!$C$26/100
  ) + 1
))*5)
</f>
        <v>6.4</v>
      </c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</row>
    <row r="42">
      <c r="A42" s="164">
        <v>3.0</v>
      </c>
      <c r="B42" s="142" t="s">
        <v>11</v>
      </c>
      <c r="C42" s="149" t="s">
        <v>69</v>
      </c>
      <c r="D42" s="166" t="s">
        <v>70</v>
      </c>
      <c r="E42" s="165"/>
      <c r="F42" s="150">
        <v>3.0</v>
      </c>
      <c r="G42" s="151">
        <v>5.0</v>
      </c>
      <c r="H42" s="146">
        <f>IF(OR(ISBLANK('Оценка'!F42), ISBLANK('Оценка'!G42)), "", 
(AVERAGE(
  (
    ('Оценка'!F42 + 4*AVERAGE('Оценка'!F42:G42) + 'Оценка'!G42)/6 - 
    2*(('Оценка'!G42 - 'Оценка'!F42)/6)
  )/5 , 
  (
    ('Оценка'!F42 + 4*AVERAGE('Оценка'!F42:G42) + 'Оценка'!G42)/6 + 
    2*(('Оценка'!G42 - 'Оценка'!F42)/6)
  )/5
) * 
(
  (
    ('PM (Расчеты)'!$C$22/8 + 'PM (Расчеты)'!$C$23/40) + 
    'PM (Расчеты)'!$C$21/100 + 'PM (Расчеты)'!$C$25/100 + 
    'PM (Расчеты)'!$C$26/100
  ) + 1
))*5)
</f>
        <v>6.4</v>
      </c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</row>
    <row r="43">
      <c r="A43" s="164">
        <v>3.0</v>
      </c>
      <c r="B43" s="142"/>
      <c r="C43" s="167" t="s">
        <v>71</v>
      </c>
      <c r="E43" s="165"/>
      <c r="F43" s="162"/>
      <c r="G43" s="163"/>
      <c r="H43" s="146" t="str">
        <f>IF(OR(ISBLANK('Оценка'!F43), ISBLANK('Оценка'!G43)), "", 
(AVERAGE(
  (
    ('Оценка'!F43 + 4*AVERAGE('Оценка'!F43:G43) + 'Оценка'!G43)/6 - 
    2*(('Оценка'!G43 - 'Оценка'!F43)/6)
  )/5 , 
  (
    ('Оценка'!F43 + 4*AVERAGE('Оценка'!F43:G43) + 'Оценка'!G43)/6 + 
    2*(('Оценка'!G43 - 'Оценка'!F43)/6)
  )/5
) * 
(
  (
    ('PM (Расчеты)'!$C$22/8 + 'PM (Расчеты)'!$C$23/40) + 
    'PM (Расчеты)'!$C$21/100 + 'PM (Расчеты)'!$C$25/100 + 
    'PM (Расчеты)'!$C$26/100
  ) + 1
))*5)
</f>
        <v/>
      </c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</row>
    <row r="44">
      <c r="A44" s="164">
        <v>3.0</v>
      </c>
      <c r="B44" s="142" t="s">
        <v>11</v>
      </c>
      <c r="C44" s="168" t="s">
        <v>72</v>
      </c>
      <c r="D44" s="169" t="s">
        <v>73</v>
      </c>
      <c r="E44" s="165"/>
      <c r="F44" s="170">
        <v>0.5</v>
      </c>
      <c r="G44" s="171">
        <v>1.0</v>
      </c>
      <c r="H44" s="146">
        <f>IF(OR(ISBLANK('Оценка'!F44), ISBLANK('Оценка'!G44)), "", 
(AVERAGE(
  (
    ('Оценка'!F44 + 4*AVERAGE('Оценка'!F44:G44) + 'Оценка'!G44)/6 - 
    2*(('Оценка'!G44 - 'Оценка'!F44)/6)
  )/5 , 
  (
    ('Оценка'!F44 + 4*AVERAGE('Оценка'!F44:G44) + 'Оценка'!G44)/6 + 
    2*(('Оценка'!G44 - 'Оценка'!F44)/6)
  )/5
) * 
(
  (
    ('PM (Расчеты)'!$C$22/8 + 'PM (Расчеты)'!$C$23/40) + 
    'PM (Расчеты)'!$C$21/100 + 'PM (Расчеты)'!$C$25/100 + 
    'PM (Расчеты)'!$C$26/100
  ) + 1
))*5)
</f>
        <v>1.2</v>
      </c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</row>
    <row r="45">
      <c r="A45" s="164">
        <v>3.0</v>
      </c>
      <c r="B45" s="142" t="s">
        <v>11</v>
      </c>
      <c r="C45" s="168" t="s">
        <v>58</v>
      </c>
      <c r="D45" s="169" t="s">
        <v>74</v>
      </c>
      <c r="E45" s="165"/>
      <c r="F45" s="170">
        <v>1.0</v>
      </c>
      <c r="G45" s="171">
        <v>1.0</v>
      </c>
      <c r="H45" s="146">
        <f>IF(OR(ISBLANK('Оценка'!F45), ISBLANK('Оценка'!G45)), "", 
(AVERAGE(
  (
    ('Оценка'!F45 + 4*AVERAGE('Оценка'!F45:G45) + 'Оценка'!G45)/6 - 
    2*(('Оценка'!G45 - 'Оценка'!F45)/6)
  )/5 , 
  (
    ('Оценка'!F45 + 4*AVERAGE('Оценка'!F45:G45) + 'Оценка'!G45)/6 + 
    2*(('Оценка'!G45 - 'Оценка'!F45)/6)
  )/5
) * 
(
  (
    ('PM (Расчеты)'!$C$22/8 + 'PM (Расчеты)'!$C$23/40) + 
    'PM (Расчеты)'!$C$21/100 + 'PM (Расчеты)'!$C$25/100 + 
    'PM (Расчеты)'!$C$26/100
  ) + 1
))*5)
</f>
        <v>1.6</v>
      </c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</row>
    <row r="46">
      <c r="A46" s="164">
        <v>4.0</v>
      </c>
      <c r="B46" s="142"/>
      <c r="C46" s="161" t="s">
        <v>75</v>
      </c>
      <c r="E46" s="165"/>
      <c r="F46" s="162"/>
      <c r="G46" s="163"/>
      <c r="H46" s="146" t="str">
        <f>IF(OR(ISBLANK('Оценка'!F46), ISBLANK('Оценка'!G46)), "", 
(AVERAGE(
  (
    ('Оценка'!F46 + 4*AVERAGE('Оценка'!F46:G46) + 'Оценка'!G46)/6 - 
    2*(('Оценка'!G46 - 'Оценка'!F46)/6)
  )/5 , 
  (
    ('Оценка'!F46 + 4*AVERAGE('Оценка'!F46:G46) + 'Оценка'!G46)/6 + 
    2*(('Оценка'!G46 - 'Оценка'!F46)/6)
  )/5
) * 
(
  (
    ('PM (Расчеты)'!$C$22/8 + 'PM (Расчеты)'!$C$23/40) + 
    'PM (Расчеты)'!$C$21/100 + 'PM (Расчеты)'!$C$25/100 + 
    'PM (Расчеты)'!$C$26/100
  ) + 1
))*5)
</f>
        <v/>
      </c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</row>
    <row r="47">
      <c r="A47" s="164">
        <v>4.0</v>
      </c>
      <c r="B47" s="142" t="s">
        <v>11</v>
      </c>
      <c r="C47" s="149" t="s">
        <v>56</v>
      </c>
      <c r="D47" s="172" t="s">
        <v>76</v>
      </c>
      <c r="E47" s="165"/>
      <c r="F47" s="150">
        <v>1.0</v>
      </c>
      <c r="G47" s="153">
        <v>1.0</v>
      </c>
      <c r="H47" s="146">
        <f>IF(OR(ISBLANK('Оценка'!F47), ISBLANK('Оценка'!G47)), "", 
(AVERAGE(
  (
    ('Оценка'!F47 + 4*AVERAGE('Оценка'!F47:G47) + 'Оценка'!G47)/6 - 
    2*(('Оценка'!G47 - 'Оценка'!F47)/6)
  )/5 , 
  (
    ('Оценка'!F47 + 4*AVERAGE('Оценка'!F47:G47) + 'Оценка'!G47)/6 + 
    2*(('Оценка'!G47 - 'Оценка'!F47)/6)
  )/5
) * 
(
  (
    ('PM (Расчеты)'!$C$22/8 + 'PM (Расчеты)'!$C$23/40) + 
    'PM (Расчеты)'!$C$21/100 + 'PM (Расчеты)'!$C$25/100 + 
    'PM (Расчеты)'!$C$26/100
  ) + 1
))*5)
</f>
        <v>1.6</v>
      </c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</row>
    <row r="48">
      <c r="A48" s="164">
        <v>4.0</v>
      </c>
      <c r="B48" s="142" t="s">
        <v>11</v>
      </c>
      <c r="C48" s="149" t="s">
        <v>58</v>
      </c>
      <c r="D48" s="166" t="s">
        <v>77</v>
      </c>
      <c r="E48" s="165"/>
      <c r="F48" s="156">
        <v>2.0</v>
      </c>
      <c r="G48" s="153">
        <v>3.0</v>
      </c>
      <c r="H48" s="146">
        <f>IF(OR(ISBLANK('Оценка'!F48), ISBLANK('Оценка'!G48)), "", 
(AVERAGE(
  (
    ('Оценка'!F48 + 4*AVERAGE('Оценка'!F48:G48) + 'Оценка'!G48)/6 - 
    2*(('Оценка'!G48 - 'Оценка'!F48)/6)
  )/5 , 
  (
    ('Оценка'!F48 + 4*AVERAGE('Оценка'!F48:G48) + 'Оценка'!G48)/6 + 
    2*(('Оценка'!G48 - 'Оценка'!F48)/6)
  )/5
) * 
(
  (
    ('PM (Расчеты)'!$C$22/8 + 'PM (Расчеты)'!$C$23/40) + 
    'PM (Расчеты)'!$C$21/100 + 'PM (Расчеты)'!$C$25/100 + 
    'PM (Расчеты)'!$C$26/100
  ) + 1
))*5)
</f>
        <v>4</v>
      </c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</row>
    <row r="49">
      <c r="A49" s="164">
        <v>4.0</v>
      </c>
      <c r="B49" s="142" t="s">
        <v>11</v>
      </c>
      <c r="C49" s="149" t="s">
        <v>78</v>
      </c>
      <c r="D49" s="166" t="s">
        <v>79</v>
      </c>
      <c r="E49" s="165"/>
      <c r="F49" s="156">
        <v>2.0</v>
      </c>
      <c r="G49" s="153">
        <v>3.0</v>
      </c>
      <c r="H49" s="146">
        <f>IF(OR(ISBLANK('Оценка'!F49), ISBLANK('Оценка'!G49)), "", 
(AVERAGE(
  (
    ('Оценка'!F49 + 4*AVERAGE('Оценка'!F49:G49) + 'Оценка'!G49)/6 - 
    2*(('Оценка'!G49 - 'Оценка'!F49)/6)
  )/5 , 
  (
    ('Оценка'!F49 + 4*AVERAGE('Оценка'!F49:G49) + 'Оценка'!G49)/6 + 
    2*(('Оценка'!G49 - 'Оценка'!F49)/6)
  )/5
) * 
(
  (
    ('PM (Расчеты)'!$C$22/8 + 'PM (Расчеты)'!$C$23/40) + 
    'PM (Расчеты)'!$C$21/100 + 'PM (Расчеты)'!$C$25/100 + 
    'PM (Расчеты)'!$C$26/100
  ) + 1
))*5)
</f>
        <v>4</v>
      </c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</row>
    <row r="50">
      <c r="A50" s="164">
        <v>4.0</v>
      </c>
      <c r="B50" s="142"/>
      <c r="C50" s="161" t="s">
        <v>80</v>
      </c>
      <c r="E50" s="165"/>
      <c r="F50" s="162"/>
      <c r="G50" s="163"/>
      <c r="H50" s="146" t="str">
        <f>IF(OR(ISBLANK('Оценка'!F50), ISBLANK('Оценка'!G50)), "", 
(AVERAGE(
  (
    ('Оценка'!F50 + 4*AVERAGE('Оценка'!F50:G50) + 'Оценка'!G50)/6 - 
    2*(('Оценка'!G50 - 'Оценка'!F50)/6)
  )/5 , 
  (
    ('Оценка'!F50 + 4*AVERAGE('Оценка'!F50:G50) + 'Оценка'!G50)/6 + 
    2*(('Оценка'!G50 - 'Оценка'!F50)/6)
  )/5
) * 
(
  (
    ('PM (Расчеты)'!$C$22/8 + 'PM (Расчеты)'!$C$23/40) + 
    'PM (Расчеты)'!$C$21/100 + 'PM (Расчеты)'!$C$25/100 + 
    'PM (Расчеты)'!$C$26/100
  ) + 1
))*5)
</f>
        <v/>
      </c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</row>
    <row r="51">
      <c r="A51" s="164">
        <v>4.0</v>
      </c>
      <c r="B51" s="142" t="s">
        <v>11</v>
      </c>
      <c r="C51" s="173" t="s">
        <v>56</v>
      </c>
      <c r="D51" s="174" t="s">
        <v>81</v>
      </c>
      <c r="E51" s="165"/>
      <c r="F51" s="150">
        <v>1.0</v>
      </c>
      <c r="G51" s="153">
        <v>1.0</v>
      </c>
      <c r="H51" s="146">
        <f>IF(OR(ISBLANK('Оценка'!F51), ISBLANK('Оценка'!G51)), "", 
(AVERAGE(
  (
    ('Оценка'!F51 + 4*AVERAGE('Оценка'!F51:G51) + 'Оценка'!G51)/6 - 
    2*(('Оценка'!G51 - 'Оценка'!F51)/6)
  )/5 , 
  (
    ('Оценка'!F51 + 4*AVERAGE('Оценка'!F51:G51) + 'Оценка'!G51)/6 + 
    2*(('Оценка'!G51 - 'Оценка'!F51)/6)
  )/5
) * 
(
  (
    ('PM (Расчеты)'!$C$22/8 + 'PM (Расчеты)'!$C$23/40) + 
    'PM (Расчеты)'!$C$21/100 + 'PM (Расчеты)'!$C$25/100 + 
    'PM (Расчеты)'!$C$26/100
  ) + 1
))*5)
</f>
        <v>1.6</v>
      </c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</row>
    <row r="52">
      <c r="A52" s="164">
        <v>4.0</v>
      </c>
      <c r="B52" s="142" t="s">
        <v>11</v>
      </c>
      <c r="C52" s="173" t="s">
        <v>82</v>
      </c>
      <c r="D52" s="175" t="s">
        <v>83</v>
      </c>
      <c r="E52" s="165"/>
      <c r="F52" s="156">
        <v>1.5</v>
      </c>
      <c r="G52" s="153">
        <v>1.5</v>
      </c>
      <c r="H52" s="146">
        <f>IF(OR(ISBLANK('Оценка'!F52), ISBLANK('Оценка'!G52)), "", 
(AVERAGE(
  (
    ('Оценка'!F52 + 4*AVERAGE('Оценка'!F52:G52) + 'Оценка'!G52)/6 - 
    2*(('Оценка'!G52 - 'Оценка'!F52)/6)
  )/5 , 
  (
    ('Оценка'!F52 + 4*AVERAGE('Оценка'!F52:G52) + 'Оценка'!G52)/6 + 
    2*(('Оценка'!G52 - 'Оценка'!F52)/6)
  )/5
) * 
(
  (
    ('PM (Расчеты)'!$C$22/8 + 'PM (Расчеты)'!$C$23/40) + 
    'PM (Расчеты)'!$C$21/100 + 'PM (Расчеты)'!$C$25/100 + 
    'PM (Расчеты)'!$C$26/100
  ) + 1
))*5)
</f>
        <v>2.4</v>
      </c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</row>
    <row r="53">
      <c r="A53" s="164">
        <v>3.0</v>
      </c>
      <c r="B53" s="142"/>
      <c r="C53" s="154" t="s">
        <v>84</v>
      </c>
      <c r="E53" s="165"/>
      <c r="F53" s="162"/>
      <c r="G53" s="163"/>
      <c r="H53" s="146" t="str">
        <f>IF(OR(ISBLANK('Оценка'!F53), ISBLANK('Оценка'!G53)), "", 
(AVERAGE(
  (
    ('Оценка'!F53 + 4*AVERAGE('Оценка'!F53:G53) + 'Оценка'!G53)/6 - 
    2*(('Оценка'!G53 - 'Оценка'!F53)/6)
  )/5 , 
  (
    ('Оценка'!F53 + 4*AVERAGE('Оценка'!F53:G53) + 'Оценка'!G53)/6 + 
    2*(('Оценка'!G53 - 'Оценка'!F53)/6)
  )/5
) * 
(
  (
    ('PM (Расчеты)'!$C$22/8 + 'PM (Расчеты)'!$C$23/40) + 
    'PM (Расчеты)'!$C$21/100 + 'PM (Расчеты)'!$C$25/100 + 
    'PM (Расчеты)'!$C$26/100
  ) + 1
))*5)
</f>
        <v/>
      </c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</row>
    <row r="54">
      <c r="A54" s="164">
        <v>4.0</v>
      </c>
      <c r="B54" s="142" t="s">
        <v>11</v>
      </c>
      <c r="C54" s="172" t="s">
        <v>85</v>
      </c>
      <c r="D54" s="172" t="s">
        <v>86</v>
      </c>
      <c r="E54" s="165"/>
      <c r="F54" s="156">
        <v>0.5</v>
      </c>
      <c r="G54" s="153">
        <v>1.0</v>
      </c>
      <c r="H54" s="146">
        <f>IF(OR(ISBLANK('Оценка'!F54), ISBLANK('Оценка'!G54)), "", 
(AVERAGE(
  (
    ('Оценка'!F54 + 4*AVERAGE('Оценка'!F54:G54) + 'Оценка'!G54)/6 - 
    2*(('Оценка'!G54 - 'Оценка'!F54)/6)
  )/5 , 
  (
    ('Оценка'!F54 + 4*AVERAGE('Оценка'!F54:G54) + 'Оценка'!G54)/6 + 
    2*(('Оценка'!G54 - 'Оценка'!F54)/6)
  )/5
) * 
(
  (
    ('PM (Расчеты)'!$C$22/8 + 'PM (Расчеты)'!$C$23/40) + 
    'PM (Расчеты)'!$C$21/100 + 'PM (Расчеты)'!$C$25/100 + 
    'PM (Расчеты)'!$C$26/100
  ) + 1
))*5)
</f>
        <v>1.2</v>
      </c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</row>
    <row r="55">
      <c r="A55" s="164"/>
      <c r="B55" s="142"/>
      <c r="C55" s="176" t="s">
        <v>218</v>
      </c>
      <c r="E55" s="177"/>
      <c r="F55" s="178"/>
      <c r="G55" s="163"/>
      <c r="H55" s="146" t="str">
        <f>IF(OR(ISBLANK('Оценка'!F55), ISBLANK('Оценка'!G55)), "", 
(AVERAGE(
  (
    ('Оценка'!F55 + 4*AVERAGE('Оценка'!F55:G55) + 'Оценка'!G55)/6 - 
    2*(('Оценка'!G55 - 'Оценка'!F55)/6)
  )/5 , 
  (
    ('Оценка'!F55 + 4*AVERAGE('Оценка'!F55:G55) + 'Оценка'!G55)/6 + 
    2*(('Оценка'!G55 - 'Оценка'!F55)/6)
  )/5
) * 
(
  (
    ('PM (Расчеты)'!$C$22/8 + 'PM (Расчеты)'!$C$23/40) + 
    'PM (Расчеты)'!$C$21/100 + 'PM (Расчеты)'!$C$25/100 + 
    'PM (Расчеты)'!$C$26/100
  ) + 1
))*5)
</f>
        <v/>
      </c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</row>
    <row r="56">
      <c r="A56" s="164">
        <v>4.0</v>
      </c>
      <c r="B56" s="142" t="s">
        <v>11</v>
      </c>
      <c r="C56" s="166" t="s">
        <v>87</v>
      </c>
      <c r="D56" s="179" t="s">
        <v>88</v>
      </c>
      <c r="E56" s="177"/>
      <c r="F56" s="150">
        <v>0.5</v>
      </c>
      <c r="G56" s="151">
        <v>1.0</v>
      </c>
      <c r="H56" s="146">
        <f>IF(OR(ISBLANK('Оценка'!F56), ISBLANK('Оценка'!G56)), "", 
(AVERAGE(
  (
    ('Оценка'!F56 + 4*AVERAGE('Оценка'!F56:G56) + 'Оценка'!G56)/6 - 
    2*(('Оценка'!G56 - 'Оценка'!F56)/6)
  )/5 , 
  (
    ('Оценка'!F56 + 4*AVERAGE('Оценка'!F56:G56) + 'Оценка'!G56)/6 + 
    2*(('Оценка'!G56 - 'Оценка'!F56)/6)
  )/5
) * 
(
  (
    ('PM (Расчеты)'!$C$22/8 + 'PM (Расчеты)'!$C$23/40) + 
    'PM (Расчеты)'!$C$21/100 + 'PM (Расчеты)'!$C$25/100 + 
    'PM (Расчеты)'!$C$26/100
  ) + 1
))*5)
</f>
        <v>1.2</v>
      </c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</row>
    <row r="57">
      <c r="A57" s="164">
        <v>4.0</v>
      </c>
      <c r="B57" s="142" t="s">
        <v>11</v>
      </c>
      <c r="C57" s="179" t="s">
        <v>89</v>
      </c>
      <c r="D57" s="166" t="s">
        <v>90</v>
      </c>
      <c r="E57" s="165"/>
      <c r="F57" s="150">
        <v>0.5</v>
      </c>
      <c r="G57" s="151">
        <v>1.0</v>
      </c>
      <c r="H57" s="146">
        <f>IF(OR(ISBLANK('Оценка'!F57), ISBLANK('Оценка'!G57)), "", 
(AVERAGE(
  (
    ('Оценка'!F57 + 4*AVERAGE('Оценка'!F57:G57) + 'Оценка'!G57)/6 - 
    2*(('Оценка'!G57 - 'Оценка'!F57)/6)
  )/5 , 
  (
    ('Оценка'!F57 + 4*AVERAGE('Оценка'!F57:G57) + 'Оценка'!G57)/6 + 
    2*(('Оценка'!G57 - 'Оценка'!F57)/6)
  )/5
) * 
(
  (
    ('PM (Расчеты)'!$C$22/8 + 'PM (Расчеты)'!$C$23/40) + 
    'PM (Расчеты)'!$C$21/100 + 'PM (Расчеты)'!$C$25/100 + 
    'PM (Расчеты)'!$C$26/100
  ) + 1
))*5)
</f>
        <v>1.2</v>
      </c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</row>
    <row r="58">
      <c r="A58" s="164">
        <v>4.0</v>
      </c>
      <c r="B58" s="142" t="s">
        <v>11</v>
      </c>
      <c r="C58" s="179" t="s">
        <v>91</v>
      </c>
      <c r="D58" s="166" t="s">
        <v>92</v>
      </c>
      <c r="E58" s="165"/>
      <c r="F58" s="156">
        <v>0.5</v>
      </c>
      <c r="G58" s="156">
        <v>0.5</v>
      </c>
      <c r="H58" s="146">
        <f>IF(OR(ISBLANK('Оценка'!F58), ISBLANK('Оценка'!G58)), "", 
(AVERAGE(
  (
    ('Оценка'!F58 + 4*AVERAGE('Оценка'!F58:G58) + 'Оценка'!G58)/6 - 
    2*(('Оценка'!G58 - 'Оценка'!F58)/6)
  )/5 , 
  (
    ('Оценка'!F58 + 4*AVERAGE('Оценка'!F58:G58) + 'Оценка'!G58)/6 + 
    2*(('Оценка'!G58 - 'Оценка'!F58)/6)
  )/5
) * 
(
  (
    ('PM (Расчеты)'!$C$22/8 + 'PM (Расчеты)'!$C$23/40) + 
    'PM (Расчеты)'!$C$21/100 + 'PM (Расчеты)'!$C$25/100 + 
    'PM (Расчеты)'!$C$26/100
  ) + 1
))*5)
</f>
        <v>0.8</v>
      </c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</row>
    <row r="59">
      <c r="A59" s="164">
        <v>4.0</v>
      </c>
      <c r="B59" s="142" t="s">
        <v>11</v>
      </c>
      <c r="C59" s="179" t="s">
        <v>93</v>
      </c>
      <c r="D59" s="166" t="s">
        <v>94</v>
      </c>
      <c r="E59" s="165"/>
      <c r="F59" s="156">
        <v>1.0</v>
      </c>
      <c r="G59" s="153">
        <v>2.0</v>
      </c>
      <c r="H59" s="146">
        <f>IF(OR(ISBLANK('Оценка'!F59), ISBLANK('Оценка'!G59)), "", 
(AVERAGE(
  (
    ('Оценка'!F59 + 4*AVERAGE('Оценка'!F59:G59) + 'Оценка'!G59)/6 - 
    2*(('Оценка'!G59 - 'Оценка'!F59)/6)
  )/5 , 
  (
    ('Оценка'!F59 + 4*AVERAGE('Оценка'!F59:G59) + 'Оценка'!G59)/6 + 
    2*(('Оценка'!G59 - 'Оценка'!F59)/6)
  )/5
) * 
(
  (
    ('PM (Расчеты)'!$C$22/8 + 'PM (Расчеты)'!$C$23/40) + 
    'PM (Расчеты)'!$C$21/100 + 'PM (Расчеты)'!$C$25/100 + 
    'PM (Расчеты)'!$C$26/100
  ) + 1
))*5)
</f>
        <v>2.4</v>
      </c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</row>
    <row r="60">
      <c r="A60" s="164">
        <v>4.0</v>
      </c>
      <c r="B60" s="142" t="s">
        <v>11</v>
      </c>
      <c r="C60" s="179" t="s">
        <v>95</v>
      </c>
      <c r="D60" s="166" t="s">
        <v>96</v>
      </c>
      <c r="E60" s="165"/>
      <c r="F60" s="156">
        <v>0.5</v>
      </c>
      <c r="G60" s="153">
        <v>1.0</v>
      </c>
      <c r="H60" s="146">
        <f>IF(OR(ISBLANK('Оценка'!F60), ISBLANK('Оценка'!G60)), "", 
(AVERAGE(
  (
    ('Оценка'!F60 + 4*AVERAGE('Оценка'!F60:G60) + 'Оценка'!G60)/6 - 
    2*(('Оценка'!G60 - 'Оценка'!F60)/6)
  )/5 , 
  (
    ('Оценка'!F60 + 4*AVERAGE('Оценка'!F60:G60) + 'Оценка'!G60)/6 + 
    2*(('Оценка'!G60 - 'Оценка'!F60)/6)
  )/5
) * 
(
  (
    ('PM (Расчеты)'!$C$22/8 + 'PM (Расчеты)'!$C$23/40) + 
    'PM (Расчеты)'!$C$21/100 + 'PM (Расчеты)'!$C$25/100 + 
    'PM (Расчеты)'!$C$26/100
  ) + 1
))*5)
</f>
        <v>1.2</v>
      </c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</row>
    <row r="61">
      <c r="A61" s="164">
        <v>4.0</v>
      </c>
      <c r="B61" s="142" t="s">
        <v>11</v>
      </c>
      <c r="C61" s="179" t="s">
        <v>97</v>
      </c>
      <c r="D61" s="166" t="s">
        <v>98</v>
      </c>
      <c r="E61" s="165"/>
      <c r="F61" s="156">
        <v>1.0</v>
      </c>
      <c r="G61" s="153">
        <v>2.0</v>
      </c>
      <c r="H61" s="146">
        <f>IF(OR(ISBLANK('Оценка'!F61), ISBLANK('Оценка'!G61)), "", 
(AVERAGE(
  (
    ('Оценка'!F61 + 4*AVERAGE('Оценка'!F61:G61) + 'Оценка'!G61)/6 - 
    2*(('Оценка'!G61 - 'Оценка'!F61)/6)
  )/5 , 
  (
    ('Оценка'!F61 + 4*AVERAGE('Оценка'!F61:G61) + 'Оценка'!G61)/6 + 
    2*(('Оценка'!G61 - 'Оценка'!F61)/6)
  )/5
) * 
(
  (
    ('PM (Расчеты)'!$C$22/8 + 'PM (Расчеты)'!$C$23/40) + 
    'PM (Расчеты)'!$C$21/100 + 'PM (Расчеты)'!$C$25/100 + 
    'PM (Расчеты)'!$C$26/100
  ) + 1
))*5)
</f>
        <v>2.4</v>
      </c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33"/>
      <c r="AD61" s="133"/>
      <c r="AE61" s="133"/>
      <c r="AF61" s="133"/>
    </row>
    <row r="62">
      <c r="A62" s="164">
        <v>4.0</v>
      </c>
      <c r="B62" s="142" t="s">
        <v>11</v>
      </c>
      <c r="C62" s="179" t="s">
        <v>99</v>
      </c>
      <c r="D62" s="166" t="s">
        <v>100</v>
      </c>
      <c r="E62" s="165"/>
      <c r="F62" s="156">
        <v>0.5</v>
      </c>
      <c r="G62" s="153">
        <v>1.5</v>
      </c>
      <c r="H62" s="146">
        <f>IF(OR(ISBLANK('Оценка'!F62), ISBLANK('Оценка'!G62)), "", 
(AVERAGE(
  (
    ('Оценка'!F62 + 4*AVERAGE('Оценка'!F62:G62) + 'Оценка'!G62)/6 - 
    2*(('Оценка'!G62 - 'Оценка'!F62)/6)
  )/5 , 
  (
    ('Оценка'!F62 + 4*AVERAGE('Оценка'!F62:G62) + 'Оценка'!G62)/6 + 
    2*(('Оценка'!G62 - 'Оценка'!F62)/6)
  )/5
) * 
(
  (
    ('PM (Расчеты)'!$C$22/8 + 'PM (Расчеты)'!$C$23/40) + 
    'PM (Расчеты)'!$C$21/100 + 'PM (Расчеты)'!$C$25/100 + 
    'PM (Расчеты)'!$C$26/100
  ) + 1
))*5)
</f>
        <v>1.6</v>
      </c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  <c r="AC62" s="133"/>
      <c r="AD62" s="133"/>
      <c r="AE62" s="133"/>
      <c r="AF62" s="133"/>
    </row>
    <row r="63">
      <c r="A63" s="164"/>
      <c r="B63" s="142"/>
      <c r="C63" s="165"/>
      <c r="D63" s="165"/>
      <c r="E63" s="165"/>
      <c r="F63" s="162"/>
      <c r="G63" s="163"/>
      <c r="H63" s="146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</row>
    <row r="64">
      <c r="A64" s="164"/>
      <c r="B64" s="142"/>
      <c r="C64" s="165"/>
      <c r="D64" s="165"/>
      <c r="E64" s="165"/>
      <c r="F64" s="162"/>
      <c r="G64" s="163"/>
      <c r="H64" s="146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  <c r="AC64" s="133"/>
      <c r="AD64" s="133"/>
      <c r="AE64" s="133"/>
      <c r="AF64" s="133"/>
    </row>
    <row r="65">
      <c r="A65" s="164"/>
      <c r="B65" s="142"/>
      <c r="C65" s="180" t="s">
        <v>219</v>
      </c>
      <c r="E65" s="165"/>
      <c r="F65" s="162"/>
      <c r="G65" s="163"/>
      <c r="H65" s="146" t="str">
        <f>IF(OR(ISBLANK('Оценка'!F65), ISBLANK('Оценка'!G65)), "", 
(AVERAGE(
  (
    ('Оценка'!F65 + 4*AVERAGE('Оценка'!F65:G65) + 'Оценка'!G65)/6 - 
    2*(('Оценка'!G65 - 'Оценка'!F65)/6)
  )/5 , 
  (
    ('Оценка'!F65 + 4*AVERAGE('Оценка'!F65:G65) + 'Оценка'!G65)/6 + 
    2*(('Оценка'!G65 - 'Оценка'!F65)/6)
  )/5
) * 
(
  (
    ('PM (Расчеты)'!$C$22/8 + 'PM (Расчеты)'!$C$23/40) + 
    'PM (Расчеты)'!$C$21/100 + 'PM (Расчеты)'!$C$25/100 + 
    'PM (Расчеты)'!$C$26/100
  ) + 1
))*5)
</f>
        <v/>
      </c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</row>
    <row r="66">
      <c r="A66" s="164">
        <v>3.0</v>
      </c>
      <c r="B66" s="142" t="s">
        <v>11</v>
      </c>
      <c r="C66" s="166" t="s">
        <v>101</v>
      </c>
      <c r="D66" s="166" t="s">
        <v>102</v>
      </c>
      <c r="E66" s="165"/>
      <c r="F66" s="156">
        <v>2.0</v>
      </c>
      <c r="G66" s="153">
        <v>3.0</v>
      </c>
      <c r="H66" s="146">
        <f>IF(OR(ISBLANK('Оценка'!F66), ISBLANK('Оценка'!G66)), "", 
(AVERAGE(
  (
    ('Оценка'!F66 + 4*AVERAGE('Оценка'!F66:G66) + 'Оценка'!G66)/6 - 
    2*(('Оценка'!G66 - 'Оценка'!F66)/6)
  )/5 , 
  (
    ('Оценка'!F66 + 4*AVERAGE('Оценка'!F66:G66) + 'Оценка'!G66)/6 + 
    2*(('Оценка'!G66 - 'Оценка'!F66)/6)
  )/5
) * 
(
  (
    ('PM (Расчеты)'!$C$22/8 + 'PM (Расчеты)'!$C$23/40) + 
    'PM (Расчеты)'!$C$21/100 + 'PM (Расчеты)'!$C$25/100 + 
    'PM (Расчеты)'!$C$26/100
  ) + 1
))*5)
</f>
        <v>4</v>
      </c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</row>
    <row r="67">
      <c r="A67" s="164">
        <v>3.0</v>
      </c>
      <c r="B67" s="142" t="s">
        <v>11</v>
      </c>
      <c r="C67" s="166" t="s">
        <v>103</v>
      </c>
      <c r="D67" s="166" t="s">
        <v>104</v>
      </c>
      <c r="E67" s="165"/>
      <c r="F67" s="156">
        <v>1.0</v>
      </c>
      <c r="G67" s="153">
        <v>2.0</v>
      </c>
      <c r="H67" s="146">
        <f>IF(OR(ISBLANK('Оценка'!F67), ISBLANK('Оценка'!G67)), "", 
(AVERAGE(
  (
    ('Оценка'!F67 + 4*AVERAGE('Оценка'!F67:G67) + 'Оценка'!G67)/6 - 
    2*(('Оценка'!G67 - 'Оценка'!F67)/6)
  )/5 , 
  (
    ('Оценка'!F67 + 4*AVERAGE('Оценка'!F67:G67) + 'Оценка'!G67)/6 + 
    2*(('Оценка'!G67 - 'Оценка'!F67)/6)
  )/5
) * 
(
  (
    ('PM (Расчеты)'!$C$22/8 + 'PM (Расчеты)'!$C$23/40) + 
    'PM (Расчеты)'!$C$21/100 + 'PM (Расчеты)'!$C$25/100 + 
    'PM (Расчеты)'!$C$26/100
  ) + 1
))*5)
</f>
        <v>2.4</v>
      </c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  <c r="AD67" s="133"/>
      <c r="AE67" s="133"/>
      <c r="AF67" s="133"/>
    </row>
    <row r="68">
      <c r="A68" s="164"/>
      <c r="B68" s="142"/>
      <c r="C68" s="165"/>
      <c r="D68" s="165"/>
      <c r="E68" s="165"/>
      <c r="F68" s="162"/>
      <c r="G68" s="162"/>
      <c r="H68" s="146" t="str">
        <f>IF(OR(ISBLANK('Оценка'!F68), ISBLANK('Оценка'!G68)), "", 
(AVERAGE(
  (
    ('Оценка'!F68 + 4*AVERAGE('Оценка'!F68:G68) + 'Оценка'!G68)/6 - 
    2*(('Оценка'!G68 - 'Оценка'!F68)/6)
  )/5 , 
  (
    ('Оценка'!F68 + 4*AVERAGE('Оценка'!F68:G68) + 'Оценка'!G68)/6 + 
    2*(('Оценка'!G68 - 'Оценка'!F68)/6)
  )/5
) * 
(
  (
    ('PM (Расчеты)'!$C$22/8 + 'PM (Расчеты)'!$C$23/40) + 
    'PM (Расчеты)'!$C$21/100 + 'PM (Расчеты)'!$C$25/100 + 
    'PM (Расчеты)'!$C$26/100
  ) + 1
))*5)
</f>
        <v/>
      </c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  <c r="AC68" s="133"/>
      <c r="AD68" s="133"/>
      <c r="AE68" s="133"/>
      <c r="AF68" s="133"/>
    </row>
    <row r="69">
      <c r="A69" s="164"/>
      <c r="B69" s="142"/>
      <c r="C69" s="180" t="s">
        <v>220</v>
      </c>
      <c r="E69" s="165"/>
      <c r="F69" s="162"/>
      <c r="G69" s="163"/>
      <c r="H69" s="146" t="str">
        <f>IF(OR(ISBLANK('Оценка'!F69), ISBLANK('Оценка'!G69)), "", 
(AVERAGE(
  (
    ('Оценка'!F69 + 4*AVERAGE('Оценка'!F69:G69) + 'Оценка'!G69)/6 - 
    2*(('Оценка'!G69 - 'Оценка'!F69)/6)
  )/5 , 
  (
    ('Оценка'!F69 + 4*AVERAGE('Оценка'!F69:G69) + 'Оценка'!G69)/6 + 
    2*(('Оценка'!G69 - 'Оценка'!F69)/6)
  )/5
) * 
(
  (
    ('PM (Расчеты)'!$C$22/8 + 'PM (Расчеты)'!$C$23/40) + 
    'PM (Расчеты)'!$C$21/100 + 'PM (Расчеты)'!$C$25/100 + 
    'PM (Расчеты)'!$C$26/100
  ) + 1
))*5)
</f>
        <v/>
      </c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</row>
    <row r="70">
      <c r="A70" s="164">
        <v>4.0</v>
      </c>
      <c r="B70" s="142" t="s">
        <v>11</v>
      </c>
      <c r="C70" s="169" t="s">
        <v>105</v>
      </c>
      <c r="D70" s="169" t="s">
        <v>106</v>
      </c>
      <c r="E70" s="165"/>
      <c r="F70" s="170">
        <v>2.0</v>
      </c>
      <c r="G70" s="171">
        <v>3.0</v>
      </c>
      <c r="H70" s="146">
        <f>IF(OR(ISBLANK('Оценка'!F70), ISBLANK('Оценка'!G70)), "", 
(AVERAGE(
  (
    ('Оценка'!F70 + 4*AVERAGE('Оценка'!F70:G70) + 'Оценка'!G70)/6 - 
    2*(('Оценка'!G70 - 'Оценка'!F70)/6)
  )/5 , 
  (
    ('Оценка'!F70 + 4*AVERAGE('Оценка'!F70:G70) + 'Оценка'!G70)/6 + 
    2*(('Оценка'!G70 - 'Оценка'!F70)/6)
  )/5
) * 
(
  (
    ('PM (Расчеты)'!$C$22/8 + 'PM (Расчеты)'!$C$23/40) + 
    'PM (Расчеты)'!$C$21/100 + 'PM (Расчеты)'!$C$25/100 + 
    'PM (Расчеты)'!$C$26/100
  ) + 1
))*5)
</f>
        <v>4</v>
      </c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  <c r="AC70" s="133"/>
      <c r="AD70" s="133"/>
      <c r="AE70" s="133"/>
      <c r="AF70" s="133"/>
    </row>
    <row r="71">
      <c r="A71" s="164">
        <v>4.0</v>
      </c>
      <c r="B71" s="142" t="s">
        <v>11</v>
      </c>
      <c r="C71" s="169" t="s">
        <v>107</v>
      </c>
      <c r="D71" s="169" t="s">
        <v>108</v>
      </c>
      <c r="E71" s="165"/>
      <c r="F71" s="181">
        <v>2.5</v>
      </c>
      <c r="G71" s="171">
        <v>4.0</v>
      </c>
      <c r="H71" s="146">
        <f>IF(OR(ISBLANK('Оценка'!F71), ISBLANK('Оценка'!G71)), "", 
(AVERAGE(
  (
    ('Оценка'!F71 + 4*AVERAGE('Оценка'!F71:G71) + 'Оценка'!G71)/6 - 
    2*(('Оценка'!G71 - 'Оценка'!F71)/6)
  )/5 , 
  (
    ('Оценка'!F71 + 4*AVERAGE('Оценка'!F71:G71) + 'Оценка'!G71)/6 + 
    2*(('Оценка'!G71 - 'Оценка'!F71)/6)
  )/5
) * 
(
  (
    ('PM (Расчеты)'!$C$22/8 + 'PM (Расчеты)'!$C$23/40) + 
    'PM (Расчеты)'!$C$21/100 + 'PM (Расчеты)'!$C$25/100 + 
    'PM (Расчеты)'!$C$26/100
  ) + 1
))*5)
</f>
        <v>5.2</v>
      </c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  <c r="AC71" s="133"/>
      <c r="AD71" s="133"/>
      <c r="AE71" s="133"/>
      <c r="AF71" s="133"/>
    </row>
    <row r="72">
      <c r="A72" s="142"/>
      <c r="B72" s="142"/>
      <c r="C72" s="165"/>
      <c r="D72" s="182"/>
      <c r="E72" s="165"/>
      <c r="F72" s="162"/>
      <c r="G72" s="163"/>
      <c r="H72" s="146" t="str">
        <f>IF(OR(ISBLANK('Оценка'!F72), ISBLANK('Оценка'!G72)), "", 
(AVERAGE(
  (
    ('Оценка'!F72 + 4*AVERAGE('Оценка'!F72:G72) + 'Оценка'!G72)/6 - 
    2*(('Оценка'!G72 - 'Оценка'!F72)/6)
  )/5 , 
  (
    ('Оценка'!F72 + 4*AVERAGE('Оценка'!F72:G72) + 'Оценка'!G72)/6 + 
    2*(('Оценка'!G72 - 'Оценка'!F72)/6)
  )/5
) * 
(
  (
    ('PM (Расчеты)'!$C$22/8 + 'PM (Расчеты)'!$C$23/40) + 
    'PM (Расчеты)'!$C$21/100 + 'PM (Расчеты)'!$C$25/100 + 
    'PM (Расчеты)'!$C$26/100
  ) + 1
))*5)
</f>
        <v/>
      </c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  <c r="AD72" s="133"/>
      <c r="AE72" s="133"/>
      <c r="AF72" s="133"/>
    </row>
    <row r="73">
      <c r="A73" s="142"/>
      <c r="B73" s="142"/>
      <c r="C73" s="183" t="s">
        <v>221</v>
      </c>
      <c r="E73" s="165"/>
      <c r="F73" s="162"/>
      <c r="G73" s="162"/>
      <c r="H73" s="146" t="str">
        <f>IF(OR(ISBLANK('Оценка'!F73), ISBLANK('Оценка'!G73)), "", 
(AVERAGE(
  (
    ('Оценка'!F73 + 4*AVERAGE('Оценка'!F73:G73) + 'Оценка'!G73)/6 - 
    2*(('Оценка'!G73 - 'Оценка'!F73)/6)
  )/5 , 
  (
    ('Оценка'!F73 + 4*AVERAGE('Оценка'!F73:G73) + 'Оценка'!G73)/6 + 
    2*(('Оценка'!G73 - 'Оценка'!F73)/6)
  )/5
) * 
(
  (
    ('PM (Расчеты)'!$C$22/8 + 'PM (Расчеты)'!$C$23/40) + 
    'PM (Расчеты)'!$C$21/100 + 'PM (Расчеты)'!$C$25/100 + 
    'PM (Расчеты)'!$C$26/100
  ) + 1
))*5)
</f>
        <v/>
      </c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  <c r="AD73" s="133"/>
      <c r="AE73" s="133"/>
      <c r="AF73" s="133"/>
    </row>
    <row r="74">
      <c r="A74" s="184">
        <v>5.0</v>
      </c>
      <c r="B74" s="142" t="s">
        <v>12</v>
      </c>
      <c r="C74" s="176" t="s">
        <v>115</v>
      </c>
      <c r="D74" s="176" t="s">
        <v>116</v>
      </c>
      <c r="E74" s="177"/>
      <c r="F74" s="185">
        <v>3.5</v>
      </c>
      <c r="G74" s="162">
        <v>4.5</v>
      </c>
      <c r="H74" s="146">
        <f>IF(OR(ISBLANK('Оценка'!F74), ISBLANK('Оценка'!G74)), "", 
(AVERAGE(
  (
    ('Оценка'!F74 + 4*AVERAGE('Оценка'!F74:G74) + 'Оценка'!G74)/6 - 
    2*(('Оценка'!G74 - 'Оценка'!F74)/6)
  )/5 , 
  (
    ('Оценка'!F74 + 4*AVERAGE('Оценка'!F74:G74) + 'Оценка'!G74)/6 + 
    2*(('Оценка'!G74 - 'Оценка'!F74)/6)
  )/5
) * 
(
  (
    ('PM (Расчеты)'!$C$22/8 + 'PM (Расчеты)'!$C$23/40) + 
    'PM (Расчеты)'!$C$21/100 + 'PM (Расчеты)'!$C$25/100 + 
    'PM (Расчеты)'!$C$26/100
  ) + 1
))*5)
</f>
        <v>6.4</v>
      </c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  <c r="AD74" s="133"/>
      <c r="AE74" s="133"/>
      <c r="AF74" s="133"/>
    </row>
    <row r="75">
      <c r="A75" s="184">
        <v>5.0</v>
      </c>
      <c r="B75" s="142"/>
      <c r="C75" s="165"/>
      <c r="D75" s="165"/>
      <c r="E75" s="177"/>
      <c r="F75" s="178"/>
      <c r="G75" s="162"/>
      <c r="H75" s="146" t="str">
        <f>IF(OR(ISBLANK('Оценка'!F75), ISBLANK('Оценка'!G75)), "", 
(AVERAGE(
  (
    ('Оценка'!F75 + 4*AVERAGE('Оценка'!F75:G75) + 'Оценка'!G75)/6 - 
    2*(('Оценка'!G75 - 'Оценка'!F75)/6)
  )/5 , 
  (
    ('Оценка'!F75 + 4*AVERAGE('Оценка'!F75:G75) + 'Оценка'!G75)/6 + 
    2*(('Оценка'!G75 - 'Оценка'!F75)/6)
  )/5
) * 
(
  (
    ('PM (Расчеты)'!$C$22/8 + 'PM (Расчеты)'!$C$23/40) + 
    'PM (Расчеты)'!$C$21/100 + 'PM (Расчеты)'!$C$25/100 + 
    'PM (Расчеты)'!$C$26/100
  ) + 1
))*5)
</f>
        <v/>
      </c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  <c r="AD75" s="133"/>
      <c r="AE75" s="133"/>
      <c r="AF75" s="133"/>
    </row>
    <row r="76">
      <c r="A76" s="184">
        <v>5.0</v>
      </c>
      <c r="B76" s="142"/>
      <c r="C76" s="176" t="s">
        <v>117</v>
      </c>
      <c r="E76" s="177"/>
      <c r="F76" s="178"/>
      <c r="G76" s="163"/>
      <c r="H76" s="146" t="str">
        <f>IF(OR(ISBLANK('Оценка'!F76), ISBLANK('Оценка'!G76)), "", 
(AVERAGE(
  (
    ('Оценка'!F76 + 4*AVERAGE('Оценка'!F76:G76) + 'Оценка'!G76)/6 - 
    2*(('Оценка'!G76 - 'Оценка'!F76)/6)
  )/5 , 
  (
    ('Оценка'!F76 + 4*AVERAGE('Оценка'!F76:G76) + 'Оценка'!G76)/6 + 
    2*(('Оценка'!G76 - 'Оценка'!F76)/6)
  )/5
) * 
(
  (
    ('PM (Расчеты)'!$C$22/8 + 'PM (Расчеты)'!$C$23/40) + 
    'PM (Расчеты)'!$C$21/100 + 'PM (Расчеты)'!$C$25/100 + 
    'PM (Расчеты)'!$C$26/100
  ) + 1
))*5)
</f>
        <v/>
      </c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3"/>
      <c r="AB76" s="133"/>
      <c r="AC76" s="133"/>
      <c r="AD76" s="133"/>
      <c r="AE76" s="133"/>
      <c r="AF76" s="133"/>
    </row>
    <row r="77">
      <c r="A77" s="184">
        <v>5.0</v>
      </c>
      <c r="B77" s="142" t="s">
        <v>12</v>
      </c>
      <c r="C77" s="166" t="s">
        <v>118</v>
      </c>
      <c r="D77" s="179" t="s">
        <v>119</v>
      </c>
      <c r="E77" s="165"/>
      <c r="F77" s="150">
        <v>1.0</v>
      </c>
      <c r="G77" s="151">
        <v>1.0</v>
      </c>
      <c r="H77" s="146">
        <f>IF(OR(ISBLANK('Оценка'!F77), ISBLANK('Оценка'!G77)), "", 
(AVERAGE(
  (
    ('Оценка'!F77 + 4*AVERAGE('Оценка'!F77:G77) + 'Оценка'!G77)/6 - 
    2*(('Оценка'!G77 - 'Оценка'!F77)/6)
  )/5 , 
  (
    ('Оценка'!F77 + 4*AVERAGE('Оценка'!F77:G77) + 'Оценка'!G77)/6 + 
    2*(('Оценка'!G77 - 'Оценка'!F77)/6)
  )/5
) * 
(
  (
    ('PM (Расчеты)'!$C$22/8 + 'PM (Расчеты)'!$C$23/40) + 
    'PM (Расчеты)'!$C$21/100 + 'PM (Расчеты)'!$C$25/100 + 
    'PM (Расчеты)'!$C$26/100
  ) + 1
))*5)
</f>
        <v>1.6</v>
      </c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  <c r="AB77" s="133"/>
      <c r="AC77" s="133"/>
      <c r="AD77" s="133"/>
      <c r="AE77" s="133"/>
      <c r="AF77" s="133"/>
    </row>
    <row r="78">
      <c r="A78" s="184">
        <v>5.0</v>
      </c>
      <c r="B78" s="142" t="s">
        <v>12</v>
      </c>
      <c r="C78" s="179" t="s">
        <v>120</v>
      </c>
      <c r="D78" s="166" t="s">
        <v>121</v>
      </c>
      <c r="E78" s="165"/>
      <c r="F78" s="150">
        <v>1.0</v>
      </c>
      <c r="G78" s="151">
        <v>1.0</v>
      </c>
      <c r="H78" s="146">
        <f>IF(OR(ISBLANK('Оценка'!F78), ISBLANK('Оценка'!G78)), "", 
(AVERAGE(
  (
    ('Оценка'!F78 + 4*AVERAGE('Оценка'!F78:G78) + 'Оценка'!G78)/6 - 
    2*(('Оценка'!G78 - 'Оценка'!F78)/6)
  )/5 , 
  (
    ('Оценка'!F78 + 4*AVERAGE('Оценка'!F78:G78) + 'Оценка'!G78)/6 + 
    2*(('Оценка'!G78 - 'Оценка'!F78)/6)
  )/5
) * 
(
  (
    ('PM (Расчеты)'!$C$22/8 + 'PM (Расчеты)'!$C$23/40) + 
    'PM (Расчеты)'!$C$21/100 + 'PM (Расчеты)'!$C$25/100 + 
    'PM (Расчеты)'!$C$26/100
  ) + 1
))*5)
</f>
        <v>1.6</v>
      </c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  <c r="AC78" s="133"/>
      <c r="AD78" s="133"/>
      <c r="AE78" s="133"/>
      <c r="AF78" s="133"/>
    </row>
    <row r="79">
      <c r="A79" s="184">
        <v>5.0</v>
      </c>
      <c r="B79" s="142" t="s">
        <v>12</v>
      </c>
      <c r="C79" s="179" t="s">
        <v>122</v>
      </c>
      <c r="D79" s="166" t="s">
        <v>123</v>
      </c>
      <c r="E79" s="165"/>
      <c r="F79" s="150">
        <v>1.0</v>
      </c>
      <c r="G79" s="151">
        <v>2.0</v>
      </c>
      <c r="H79" s="146">
        <f>IF(OR(ISBLANK('Оценка'!F79), ISBLANK('Оценка'!G79)), "", 
(AVERAGE(
  (
    ('Оценка'!F79 + 4*AVERAGE('Оценка'!F79:G79) + 'Оценка'!G79)/6 - 
    2*(('Оценка'!G79 - 'Оценка'!F79)/6)
  )/5 , 
  (
    ('Оценка'!F79 + 4*AVERAGE('Оценка'!F79:G79) + 'Оценка'!G79)/6 + 
    2*(('Оценка'!G79 - 'Оценка'!F79)/6)
  )/5
) * 
(
  (
    ('PM (Расчеты)'!$C$22/8 + 'PM (Расчеты)'!$C$23/40) + 
    'PM (Расчеты)'!$C$21/100 + 'PM (Расчеты)'!$C$25/100 + 
    'PM (Расчеты)'!$C$26/100
  ) + 1
))*5)
</f>
        <v>2.4</v>
      </c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3"/>
      <c r="AC79" s="133"/>
      <c r="AD79" s="133"/>
      <c r="AE79" s="133"/>
      <c r="AF79" s="133"/>
    </row>
    <row r="80">
      <c r="A80" s="184">
        <v>5.0</v>
      </c>
      <c r="B80" s="142"/>
      <c r="C80" s="186"/>
      <c r="D80" s="177"/>
      <c r="E80" s="165"/>
      <c r="F80" s="144"/>
      <c r="G80" s="145"/>
      <c r="H80" s="146" t="str">
        <f>IF(OR(ISBLANK('Оценка'!F80), ISBLANK('Оценка'!G80)), "", 
(AVERAGE(
  (
    ('Оценка'!F80 + 4*AVERAGE('Оценка'!F80:G80) + 'Оценка'!G80)/6 - 
    2*(('Оценка'!G80 - 'Оценка'!F80)/6)
  )/5 , 
  (
    ('Оценка'!F80 + 4*AVERAGE('Оценка'!F80:G80) + 'Оценка'!G80)/6 + 
    2*(('Оценка'!G80 - 'Оценка'!F80)/6)
  )/5
) * 
(
  (
    ('PM (Расчеты)'!$C$22/8 + 'PM (Расчеты)'!$C$23/40) + 
    'PM (Расчеты)'!$C$21/100 + 'PM (Расчеты)'!$C$25/100 + 
    'PM (Расчеты)'!$C$26/100
  ) + 1
))*5)
</f>
        <v/>
      </c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  <c r="AC80" s="133"/>
      <c r="AD80" s="133"/>
      <c r="AE80" s="133"/>
      <c r="AF80" s="133"/>
    </row>
    <row r="81">
      <c r="A81" s="184">
        <v>5.0</v>
      </c>
      <c r="B81" s="142"/>
      <c r="C81" s="186"/>
      <c r="D81" s="177"/>
      <c r="E81" s="165"/>
      <c r="F81" s="144"/>
      <c r="G81" s="145"/>
      <c r="H81" s="146" t="str">
        <f>IF(OR(ISBLANK('Оценка'!F81), ISBLANK('Оценка'!G81)), "", 
(AVERAGE(
  (
    ('Оценка'!F81 + 4*AVERAGE('Оценка'!F81:G81) + 'Оценка'!G81)/6 - 
    2*(('Оценка'!G81 - 'Оценка'!F81)/6)
  )/5 , 
  (
    ('Оценка'!F81 + 4*AVERAGE('Оценка'!F81:G81) + 'Оценка'!G81)/6 + 
    2*(('Оценка'!G81 - 'Оценка'!F81)/6)
  )/5
) * 
(
  (
    ('PM (Расчеты)'!$C$22/8 + 'PM (Расчеты)'!$C$23/40) + 
    'PM (Расчеты)'!$C$21/100 + 'PM (Расчеты)'!$C$25/100 + 
    'PM (Расчеты)'!$C$26/100
  ) + 1
))*5)
</f>
        <v/>
      </c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3"/>
      <c r="AC81" s="133"/>
      <c r="AD81" s="133"/>
      <c r="AE81" s="133"/>
      <c r="AF81" s="133"/>
    </row>
    <row r="82">
      <c r="A82" s="184">
        <v>5.0</v>
      </c>
      <c r="B82" s="142"/>
      <c r="C82" s="180" t="s">
        <v>124</v>
      </c>
      <c r="E82" s="165"/>
      <c r="F82" s="162"/>
      <c r="G82" s="163"/>
      <c r="H82" s="146" t="str">
        <f>IF(OR(ISBLANK('Оценка'!F82), ISBLANK('Оценка'!G82)), "", 
(AVERAGE(
  (
    ('Оценка'!F82 + 4*AVERAGE('Оценка'!F82:G82) + 'Оценка'!G82)/6 - 
    2*(('Оценка'!G82 - 'Оценка'!F82)/6)
  )/5 , 
  (
    ('Оценка'!F82 + 4*AVERAGE('Оценка'!F82:G82) + 'Оценка'!G82)/6 + 
    2*(('Оценка'!G82 - 'Оценка'!F82)/6)
  )/5
) * 
(
  (
    ('PM (Расчеты)'!$C$22/8 + 'PM (Расчеты)'!$C$23/40) + 
    'PM (Расчеты)'!$C$21/100 + 'PM (Расчеты)'!$C$25/100 + 
    'PM (Расчеты)'!$C$26/100
  ) + 1
))*5)
</f>
        <v/>
      </c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33"/>
      <c r="AD82" s="133"/>
      <c r="AE82" s="133"/>
      <c r="AF82" s="133"/>
    </row>
    <row r="83">
      <c r="A83" s="184">
        <v>5.0</v>
      </c>
      <c r="B83" s="142" t="s">
        <v>12</v>
      </c>
      <c r="C83" s="166" t="s">
        <v>125</v>
      </c>
      <c r="D83" s="166" t="s">
        <v>126</v>
      </c>
      <c r="E83" s="165"/>
      <c r="F83" s="162">
        <v>1.0</v>
      </c>
      <c r="G83" s="163">
        <v>2.0</v>
      </c>
      <c r="H83" s="146">
        <f>IF(OR(ISBLANK('Оценка'!F83), ISBLANK('Оценка'!G83)), "", 
(AVERAGE(
  (
    ('Оценка'!F83 + 4*AVERAGE('Оценка'!F83:G83) + 'Оценка'!G83)/6 - 
    2*(('Оценка'!G83 - 'Оценка'!F83)/6)
  )/5 , 
  (
    ('Оценка'!F83 + 4*AVERAGE('Оценка'!F83:G83) + 'Оценка'!G83)/6 + 
    2*(('Оценка'!G83 - 'Оценка'!F83)/6)
  )/5
) * 
(
  (
    ('PM (Расчеты)'!$C$22/8 + 'PM (Расчеты)'!$C$23/40) + 
    'PM (Расчеты)'!$C$21/100 + 'PM (Расчеты)'!$C$25/100 + 
    'PM (Расчеты)'!$C$26/100
  ) + 1
))*5)
</f>
        <v>2.4</v>
      </c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  <c r="AC83" s="133"/>
      <c r="AD83" s="133"/>
      <c r="AE83" s="133"/>
      <c r="AF83" s="133"/>
    </row>
    <row r="84">
      <c r="A84" s="184">
        <v>5.0</v>
      </c>
      <c r="B84" s="142" t="s">
        <v>12</v>
      </c>
      <c r="C84" s="187" t="s">
        <v>127</v>
      </c>
      <c r="D84" s="166" t="s">
        <v>128</v>
      </c>
      <c r="E84" s="165"/>
      <c r="F84" s="162">
        <v>2.0</v>
      </c>
      <c r="G84" s="163">
        <v>3.0</v>
      </c>
      <c r="H84" s="146">
        <f>IF(OR(ISBLANK('Оценка'!F84), ISBLANK('Оценка'!G84)), "", 
(AVERAGE(
  (
    ('Оценка'!F84 + 4*AVERAGE('Оценка'!F84:G84) + 'Оценка'!G84)/6 - 
    2*(('Оценка'!G84 - 'Оценка'!F84)/6)
  )/5 , 
  (
    ('Оценка'!F84 + 4*AVERAGE('Оценка'!F84:G84) + 'Оценка'!G84)/6 + 
    2*(('Оценка'!G84 - 'Оценка'!F84)/6)
  )/5
) * 
(
  (
    ('PM (Расчеты)'!$C$22/8 + 'PM (Расчеты)'!$C$23/40) + 
    'PM (Расчеты)'!$C$21/100 + 'PM (Расчеты)'!$C$25/100 + 
    'PM (Расчеты)'!$C$26/100
  ) + 1
))*5)
</f>
        <v>4</v>
      </c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33"/>
      <c r="AD84" s="133"/>
      <c r="AE84" s="133"/>
      <c r="AF84" s="133"/>
    </row>
    <row r="85">
      <c r="A85" s="184">
        <v>5.0</v>
      </c>
      <c r="B85" s="142" t="s">
        <v>12</v>
      </c>
      <c r="C85" s="166" t="s">
        <v>129</v>
      </c>
      <c r="D85" s="166" t="s">
        <v>130</v>
      </c>
      <c r="E85" s="165"/>
      <c r="F85" s="162">
        <v>4.0</v>
      </c>
      <c r="G85" s="163">
        <v>5.0</v>
      </c>
      <c r="H85" s="146">
        <f>IF(OR(ISBLANK('Оценка'!F85), ISBLANK('Оценка'!G85)), "", 
(AVERAGE(
  (
    ('Оценка'!F85 + 4*AVERAGE('Оценка'!F85:G85) + 'Оценка'!G85)/6 - 
    2*(('Оценка'!G85 - 'Оценка'!F85)/6)
  )/5 , 
  (
    ('Оценка'!F85 + 4*AVERAGE('Оценка'!F85:G85) + 'Оценка'!G85)/6 + 
    2*(('Оценка'!G85 - 'Оценка'!F85)/6)
  )/5
) * 
(
  (
    ('PM (Расчеты)'!$C$22/8 + 'PM (Расчеты)'!$C$23/40) + 
    'PM (Расчеты)'!$C$21/100 + 'PM (Расчеты)'!$C$25/100 + 
    'PM (Расчеты)'!$C$26/100
  ) + 1
))*5)
</f>
        <v>7.2</v>
      </c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</row>
    <row r="86">
      <c r="A86" s="184">
        <v>5.0</v>
      </c>
      <c r="B86" s="142" t="s">
        <v>12</v>
      </c>
      <c r="C86" s="166" t="s">
        <v>131</v>
      </c>
      <c r="D86" s="166" t="s">
        <v>132</v>
      </c>
      <c r="E86" s="165"/>
      <c r="F86" s="162">
        <v>2.0</v>
      </c>
      <c r="G86" s="163">
        <v>3.0</v>
      </c>
      <c r="H86" s="146">
        <f>IF(OR(ISBLANK('Оценка'!F86), ISBLANK('Оценка'!G86)), "", 
(AVERAGE(
  (
    ('Оценка'!F86 + 4*AVERAGE('Оценка'!F86:G86) + 'Оценка'!G86)/6 - 
    2*(('Оценка'!G86 - 'Оценка'!F86)/6)
  )/5 , 
  (
    ('Оценка'!F86 + 4*AVERAGE('Оценка'!F86:G86) + 'Оценка'!G86)/6 + 
    2*(('Оценка'!G86 - 'Оценка'!F86)/6)
  )/5
) * 
(
  (
    ('PM (Расчеты)'!$C$22/8 + 'PM (Расчеты)'!$C$23/40) + 
    'PM (Расчеты)'!$C$21/100 + 'PM (Расчеты)'!$C$25/100 + 
    'PM (Расчеты)'!$C$26/100
  ) + 1
))*5)
</f>
        <v>4</v>
      </c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</row>
    <row r="87">
      <c r="A87" s="184">
        <v>5.0</v>
      </c>
      <c r="B87" s="142" t="s">
        <v>12</v>
      </c>
      <c r="C87" s="166" t="s">
        <v>133</v>
      </c>
      <c r="D87" s="166" t="s">
        <v>134</v>
      </c>
      <c r="E87" s="165"/>
      <c r="F87" s="162">
        <v>7.0</v>
      </c>
      <c r="G87" s="163">
        <v>8.0</v>
      </c>
      <c r="H87" s="146">
        <f>IF(OR(ISBLANK('Оценка'!F87), ISBLANK('Оценка'!G87)), "", 
(AVERAGE(
  (
    ('Оценка'!F87 + 4*AVERAGE('Оценка'!F87:G87) + 'Оценка'!G87)/6 - 
    2*(('Оценка'!G87 - 'Оценка'!F87)/6)
  )/5 , 
  (
    ('Оценка'!F87 + 4*AVERAGE('Оценка'!F87:G87) + 'Оценка'!G87)/6 + 
    2*(('Оценка'!G87 - 'Оценка'!F87)/6)
  )/5
) * 
(
  (
    ('PM (Расчеты)'!$C$22/8 + 'PM (Расчеты)'!$C$23/40) + 
    'PM (Расчеты)'!$C$21/100 + 'PM (Расчеты)'!$C$25/100 + 
    'PM (Расчеты)'!$C$26/100
  ) + 1
))*5)
</f>
        <v>12</v>
      </c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</row>
    <row r="88">
      <c r="A88" s="184">
        <v>5.0</v>
      </c>
      <c r="B88" s="142" t="s">
        <v>12</v>
      </c>
      <c r="C88" s="166" t="s">
        <v>135</v>
      </c>
      <c r="D88" s="166" t="s">
        <v>136</v>
      </c>
      <c r="E88" s="165"/>
      <c r="F88" s="162">
        <v>1.0</v>
      </c>
      <c r="G88" s="163">
        <v>1.0</v>
      </c>
      <c r="H88" s="146">
        <f>IF(OR(ISBLANK('Оценка'!F88), ISBLANK('Оценка'!G88)), "", 
(AVERAGE(
  (
    ('Оценка'!F88 + 4*AVERAGE('Оценка'!F88:G88) + 'Оценка'!G88)/6 - 
    2*(('Оценка'!G88 - 'Оценка'!F88)/6)
  )/5 , 
  (
    ('Оценка'!F88 + 4*AVERAGE('Оценка'!F88:G88) + 'Оценка'!G88)/6 + 
    2*(('Оценка'!G88 - 'Оценка'!F88)/6)
  )/5
) * 
(
  (
    ('PM (Расчеты)'!$C$22/8 + 'PM (Расчеты)'!$C$23/40) + 
    'PM (Расчеты)'!$C$21/100 + 'PM (Расчеты)'!$C$25/100 + 
    'PM (Расчеты)'!$C$26/100
  ) + 1
))*5)
</f>
        <v>1.6</v>
      </c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3"/>
      <c r="AC88" s="133"/>
      <c r="AD88" s="133"/>
      <c r="AE88" s="133"/>
      <c r="AF88" s="133"/>
    </row>
    <row r="89">
      <c r="A89" s="184">
        <v>5.0</v>
      </c>
      <c r="B89" s="142" t="s">
        <v>12</v>
      </c>
      <c r="C89" s="166" t="s">
        <v>137</v>
      </c>
      <c r="D89" s="166" t="s">
        <v>138</v>
      </c>
      <c r="E89" s="165"/>
      <c r="F89" s="162">
        <v>0.5</v>
      </c>
      <c r="G89" s="163">
        <v>1.0</v>
      </c>
      <c r="H89" s="146">
        <f>IF(OR(ISBLANK('Оценка'!F89), ISBLANK('Оценка'!G89)), "", 
(AVERAGE(
  (
    ('Оценка'!F89 + 4*AVERAGE('Оценка'!F89:G89) + 'Оценка'!G89)/6 - 
    2*(('Оценка'!G89 - 'Оценка'!F89)/6)
  )/5 , 
  (
    ('Оценка'!F89 + 4*AVERAGE('Оценка'!F89:G89) + 'Оценка'!G89)/6 + 
    2*(('Оценка'!G89 - 'Оценка'!F89)/6)
  )/5
) * 
(
  (
    ('PM (Расчеты)'!$C$22/8 + 'PM (Расчеты)'!$C$23/40) + 
    'PM (Расчеты)'!$C$21/100 + 'PM (Расчеты)'!$C$25/100 + 
    'PM (Расчеты)'!$C$26/100
  ) + 1
))*5)
</f>
        <v>1.2</v>
      </c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  <c r="AC89" s="133"/>
      <c r="AD89" s="133"/>
      <c r="AE89" s="133"/>
      <c r="AF89" s="133"/>
    </row>
    <row r="90">
      <c r="A90" s="184">
        <v>5.0</v>
      </c>
      <c r="B90" s="142"/>
      <c r="C90" s="180" t="s">
        <v>139</v>
      </c>
      <c r="E90" s="165"/>
      <c r="F90" s="162"/>
      <c r="G90" s="163"/>
      <c r="H90" s="146" t="str">
        <f>IF(OR(ISBLANK('Оценка'!F90), ISBLANK('Оценка'!G90)), "", 
(AVERAGE(
  (
    ('Оценка'!F90 + 4*AVERAGE('Оценка'!F90:G90) + 'Оценка'!G90)/6 - 
    2*(('Оценка'!G90 - 'Оценка'!F90)/6)
  )/5 , 
  (
    ('Оценка'!F90 + 4*AVERAGE('Оценка'!F90:G90) + 'Оценка'!G90)/6 + 
    2*(('Оценка'!G90 - 'Оценка'!F90)/6)
  )/5
) * 
(
  (
    ('PM (Расчеты)'!$C$22/8 + 'PM (Расчеты)'!$C$23/40) + 
    'PM (Расчеты)'!$C$21/100 + 'PM (Расчеты)'!$C$25/100 + 
    'PM (Расчеты)'!$C$26/100
  ) + 1
))*5)
</f>
        <v/>
      </c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/>
      <c r="AC90" s="133"/>
      <c r="AD90" s="133"/>
      <c r="AE90" s="133"/>
      <c r="AF90" s="133"/>
    </row>
    <row r="91">
      <c r="A91" s="184">
        <v>5.0</v>
      </c>
      <c r="B91" s="142" t="s">
        <v>12</v>
      </c>
      <c r="C91" s="166" t="s">
        <v>140</v>
      </c>
      <c r="D91" s="166" t="s">
        <v>141</v>
      </c>
      <c r="E91" s="165"/>
      <c r="F91" s="170">
        <v>5.0</v>
      </c>
      <c r="G91" s="163">
        <v>5.0</v>
      </c>
      <c r="H91" s="146">
        <f>IF(OR(ISBLANK('Оценка'!F91), ISBLANK('Оценка'!G91)), "", 
(AVERAGE(
  (
    ('Оценка'!F91 + 4*AVERAGE('Оценка'!F91:G91) + 'Оценка'!G91)/6 - 
    2*(('Оценка'!G91 - 'Оценка'!F91)/6)
  )/5 , 
  (
    ('Оценка'!F91 + 4*AVERAGE('Оценка'!F91:G91) + 'Оценка'!G91)/6 + 
    2*(('Оценка'!G91 - 'Оценка'!F91)/6)
  )/5
) * 
(
  (
    ('PM (Расчеты)'!$C$22/8 + 'PM (Расчеты)'!$C$23/40) + 
    'PM (Расчеты)'!$C$21/100 + 'PM (Расчеты)'!$C$25/100 + 
    'PM (Расчеты)'!$C$26/100
  ) + 1
))*5)
</f>
        <v>8</v>
      </c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/>
      <c r="AC91" s="133"/>
      <c r="AD91" s="133"/>
      <c r="AE91" s="133"/>
      <c r="AF91" s="133"/>
    </row>
    <row r="92">
      <c r="A92" s="184">
        <v>5.0</v>
      </c>
      <c r="B92" s="142" t="s">
        <v>12</v>
      </c>
      <c r="C92" s="166" t="s">
        <v>142</v>
      </c>
      <c r="D92" s="166" t="s">
        <v>143</v>
      </c>
      <c r="E92" s="165"/>
      <c r="G92" s="188"/>
      <c r="H92" s="146" t="str">
        <f>IF(OR(ISBLANK('Оценка'!F92), ISBLANK('Оценка'!G92)), "", 
(AVERAGE(
  (
    ('Оценка'!F92 + 4*AVERAGE('Оценка'!F92:G92) + 'Оценка'!G92)/6 - 
    2*(('Оценка'!G92 - 'Оценка'!F92)/6)
  )/5 , 
  (
    ('Оценка'!F92 + 4*AVERAGE('Оценка'!F92:G92) + 'Оценка'!G92)/6 + 
    2*(('Оценка'!G92 - 'Оценка'!F92)/6)
  )/5
) * 
(
  (
    ('PM (Расчеты)'!$C$22/8 + 'PM (Расчеты)'!$C$23/40) + 
    'PM (Расчеты)'!$C$21/100 + 'PM (Расчеты)'!$C$25/100 + 
    'PM (Расчеты)'!$C$26/100
  ) + 1
))*5)
</f>
        <v/>
      </c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33"/>
      <c r="AD92" s="133"/>
      <c r="AE92" s="133"/>
      <c r="AF92" s="133"/>
    </row>
    <row r="93">
      <c r="A93" s="184">
        <v>5.0</v>
      </c>
      <c r="B93" s="142" t="s">
        <v>12</v>
      </c>
      <c r="C93" s="166" t="s">
        <v>144</v>
      </c>
      <c r="D93" s="166" t="s">
        <v>145</v>
      </c>
      <c r="E93" s="165"/>
      <c r="G93" s="188"/>
      <c r="H93" s="146" t="str">
        <f>IF(OR(ISBLANK('Оценка'!F93), ISBLANK('Оценка'!G93)), "", 
(AVERAGE(
  (
    ('Оценка'!F93 + 4*AVERAGE('Оценка'!F93:G93) + 'Оценка'!G93)/6 - 
    2*(('Оценка'!G93 - 'Оценка'!F93)/6)
  )/5 , 
  (
    ('Оценка'!F93 + 4*AVERAGE('Оценка'!F93:G93) + 'Оценка'!G93)/6 + 
    2*(('Оценка'!G93 - 'Оценка'!F93)/6)
  )/5
) * 
(
  (
    ('PM (Расчеты)'!$C$22/8 + 'PM (Расчеты)'!$C$23/40) + 
    'PM (Расчеты)'!$C$21/100 + 'PM (Расчеты)'!$C$25/100 + 
    'PM (Расчеты)'!$C$26/100
  ) + 1
))*5)
</f>
        <v/>
      </c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33"/>
      <c r="AD93" s="133"/>
      <c r="AE93" s="133"/>
      <c r="AF93" s="133"/>
    </row>
    <row r="94">
      <c r="A94" s="184">
        <v>5.0</v>
      </c>
      <c r="B94" s="142" t="s">
        <v>12</v>
      </c>
      <c r="C94" s="166" t="s">
        <v>146</v>
      </c>
      <c r="D94" s="166" t="s">
        <v>147</v>
      </c>
      <c r="E94" s="165"/>
      <c r="G94" s="188"/>
      <c r="H94" s="146" t="str">
        <f>IF(OR(ISBLANK('Оценка'!F94), ISBLANK('Оценка'!G94)), "", 
(AVERAGE(
  (
    ('Оценка'!F94 + 4*AVERAGE('Оценка'!F94:G94) + 'Оценка'!G94)/6 - 
    2*(('Оценка'!G94 - 'Оценка'!F94)/6)
  )/5 , 
  (
    ('Оценка'!F94 + 4*AVERAGE('Оценка'!F94:G94) + 'Оценка'!G94)/6 + 
    2*(('Оценка'!G94 - 'Оценка'!F94)/6)
  )/5
) * 
(
  (
    ('PM (Расчеты)'!$C$22/8 + 'PM (Расчеты)'!$C$23/40) + 
    'PM (Расчеты)'!$C$21/100 + 'PM (Расчеты)'!$C$25/100 + 
    'PM (Расчеты)'!$C$26/100
  ) + 1
))*5)
</f>
        <v/>
      </c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  <c r="AD94" s="133"/>
      <c r="AE94" s="133"/>
      <c r="AF94" s="133"/>
    </row>
    <row r="95">
      <c r="A95" s="184"/>
      <c r="B95" s="142"/>
      <c r="C95" s="166"/>
      <c r="D95" s="166"/>
      <c r="E95" s="165"/>
      <c r="F95" s="162"/>
      <c r="G95" s="163"/>
      <c r="H95" s="146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  <c r="AD95" s="133"/>
      <c r="AE95" s="133"/>
      <c r="AF95" s="133"/>
    </row>
    <row r="96">
      <c r="A96" s="184">
        <v>5.0</v>
      </c>
      <c r="B96" s="142"/>
      <c r="C96" s="180" t="s">
        <v>148</v>
      </c>
      <c r="E96" s="165"/>
      <c r="F96" s="162"/>
      <c r="G96" s="163"/>
      <c r="H96" s="146" t="str">
        <f>IF(OR(ISBLANK('Оценка'!F96), ISBLANK('Оценка'!G96)), "", 
(AVERAGE(
  (
    ('Оценка'!F96 + 4*AVERAGE('Оценка'!F96:G96) + 'Оценка'!G96)/6 - 
    2*(('Оценка'!G96 - 'Оценка'!F96)/6)
  )/5 , 
  (
    ('Оценка'!F96 + 4*AVERAGE('Оценка'!F96:G96) + 'Оценка'!G96)/6 + 
    2*(('Оценка'!G96 - 'Оценка'!F96)/6)
  )/5
) * 
(
  (
    ('PM (Расчеты)'!$C$22/8 + 'PM (Расчеты)'!$C$23/40) + 
    'PM (Расчеты)'!$C$21/100 + 'PM (Расчеты)'!$C$25/100 + 
    'PM (Расчеты)'!$C$26/100
  ) + 1
))*5)
</f>
        <v/>
      </c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3"/>
      <c r="AB96" s="133"/>
      <c r="AC96" s="133"/>
      <c r="AD96" s="133"/>
      <c r="AE96" s="133"/>
      <c r="AF96" s="133"/>
    </row>
    <row r="97">
      <c r="A97" s="184">
        <v>5.0</v>
      </c>
      <c r="B97" s="142" t="s">
        <v>12</v>
      </c>
      <c r="C97" s="166" t="s">
        <v>149</v>
      </c>
      <c r="D97" s="166" t="s">
        <v>150</v>
      </c>
      <c r="E97" s="165"/>
      <c r="F97" s="162">
        <v>1.0</v>
      </c>
      <c r="G97" s="163">
        <v>2.0</v>
      </c>
      <c r="H97" s="146">
        <f>IF(OR(ISBLANK('Оценка'!F97), ISBLANK('Оценка'!G97)), "", 
(AVERAGE(
  (
    ('Оценка'!F97 + 4*AVERAGE('Оценка'!F97:G97) + 'Оценка'!G97)/6 - 
    2*(('Оценка'!G97 - 'Оценка'!F97)/6)
  )/5 , 
  (
    ('Оценка'!F97 + 4*AVERAGE('Оценка'!F97:G97) + 'Оценка'!G97)/6 + 
    2*(('Оценка'!G97 - 'Оценка'!F97)/6)
  )/5
) * 
(
  (
    ('PM (Расчеты)'!$C$22/8 + 'PM (Расчеты)'!$C$23/40) + 
    'PM (Расчеты)'!$C$21/100 + 'PM (Расчеты)'!$C$25/100 + 
    'PM (Расчеты)'!$C$26/100
  ) + 1
))*5)
</f>
        <v>2.4</v>
      </c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3"/>
      <c r="AB97" s="133"/>
      <c r="AC97" s="133"/>
      <c r="AD97" s="133"/>
      <c r="AE97" s="133"/>
      <c r="AF97" s="133"/>
    </row>
    <row r="98">
      <c r="A98" s="184"/>
      <c r="B98" s="142"/>
      <c r="C98" s="165"/>
      <c r="D98" s="165"/>
      <c r="E98" s="165"/>
      <c r="F98" s="162"/>
      <c r="G98" s="163"/>
      <c r="H98" s="146" t="str">
        <f>IF(OR(ISBLANK('Оценка'!F98), ISBLANK('Оценка'!G98)), "", 
(AVERAGE(
  (
    ('Оценка'!F98 + 4*AVERAGE('Оценка'!F98:G98) + 'Оценка'!G98)/6 - 
    2*(('Оценка'!G98 - 'Оценка'!F98)/6)
  )/5 , 
  (
    ('Оценка'!F98 + 4*AVERAGE('Оценка'!F98:G98) + 'Оценка'!G98)/6 + 
    2*(('Оценка'!G98 - 'Оценка'!F98)/6)
  )/5
) * 
(
  (
    ('PM (Расчеты)'!$C$22/8 + 'PM (Расчеты)'!$C$23/40) + 
    'PM (Расчеты)'!$C$21/100 + 'PM (Расчеты)'!$C$25/100 + 
    'PM (Расчеты)'!$C$26/100
  ) + 1
))*5)
</f>
        <v/>
      </c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3"/>
      <c r="AB98" s="133"/>
      <c r="AC98" s="133"/>
      <c r="AD98" s="133"/>
      <c r="AE98" s="133"/>
      <c r="AF98" s="133"/>
    </row>
    <row r="99">
      <c r="A99" s="184"/>
      <c r="B99" s="142"/>
      <c r="C99" s="180" t="s">
        <v>220</v>
      </c>
      <c r="E99" s="165"/>
      <c r="F99" s="162"/>
      <c r="G99" s="163"/>
      <c r="H99" s="146" t="str">
        <f>IF(OR(ISBLANK('Оценка'!F99), ISBLANK('Оценка'!G99)), "", 
(AVERAGE(
  (
    ('Оценка'!F99 + 4*AVERAGE('Оценка'!F99:G99) + 'Оценка'!G99)/6 - 
    2*(('Оценка'!G99 - 'Оценка'!F99)/6)
  )/5 , 
  (
    ('Оценка'!F99 + 4*AVERAGE('Оценка'!F99:G99) + 'Оценка'!G99)/6 + 
    2*(('Оценка'!G99 - 'Оценка'!F99)/6)
  )/5
) * 
(
  (
    ('PM (Расчеты)'!$C$22/8 + 'PM (Расчеты)'!$C$23/40) + 
    'PM (Расчеты)'!$C$21/100 + 'PM (Расчеты)'!$C$25/100 + 
    'PM (Расчеты)'!$C$26/100
  ) + 1
))*5)
</f>
        <v/>
      </c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3"/>
      <c r="AB99" s="133"/>
      <c r="AC99" s="133"/>
      <c r="AD99" s="133"/>
      <c r="AE99" s="133"/>
      <c r="AF99" s="133"/>
    </row>
    <row r="100">
      <c r="A100" s="184">
        <v>5.0</v>
      </c>
      <c r="B100" s="142" t="s">
        <v>12</v>
      </c>
      <c r="C100" s="166" t="s">
        <v>105</v>
      </c>
      <c r="D100" s="166" t="s">
        <v>151</v>
      </c>
      <c r="E100" s="165"/>
      <c r="F100" s="162">
        <v>1.0</v>
      </c>
      <c r="G100" s="163">
        <v>1.0</v>
      </c>
      <c r="H100" s="146">
        <f>IF(OR(ISBLANK('Оценка'!F100), ISBLANK('Оценка'!G100)), "", 
(AVERAGE(
  (
    ('Оценка'!F100 + 4*AVERAGE('Оценка'!F100:G100) + 'Оценка'!G100)/6 - 
    2*(('Оценка'!G100 - 'Оценка'!F100)/6)
  )/5 , 
  (
    ('Оценка'!F100 + 4*AVERAGE('Оценка'!F100:G100) + 'Оценка'!G100)/6 + 
    2*(('Оценка'!G100 - 'Оценка'!F100)/6)
  )/5
) * 
(
  (
    ('PM (Расчеты)'!$C$22/8 + 'PM (Расчеты)'!$C$23/40) + 
    'PM (Расчеты)'!$C$21/100 + 'PM (Расчеты)'!$C$25/100 + 
    'PM (Расчеты)'!$C$26/100
  ) + 1
))*5)
</f>
        <v>1.6</v>
      </c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3"/>
      <c r="AB100" s="133"/>
      <c r="AC100" s="133"/>
      <c r="AD100" s="133"/>
      <c r="AE100" s="133"/>
      <c r="AF100" s="133"/>
    </row>
    <row r="101">
      <c r="A101" s="184">
        <v>5.0</v>
      </c>
      <c r="B101" s="142" t="s">
        <v>12</v>
      </c>
      <c r="C101" s="166" t="s">
        <v>107</v>
      </c>
      <c r="D101" s="166" t="s">
        <v>152</v>
      </c>
      <c r="E101" s="165"/>
      <c r="F101" s="162">
        <v>1.0</v>
      </c>
      <c r="G101" s="163">
        <v>1.0</v>
      </c>
      <c r="H101" s="146">
        <f>IF(OR(ISBLANK('Оценка'!F101), ISBLANK('Оценка'!G101)), "", 
(AVERAGE(
  (
    ('Оценка'!F101 + 4*AVERAGE('Оценка'!F101:G101) + 'Оценка'!G101)/6 - 
    2*(('Оценка'!G101 - 'Оценка'!F101)/6)
  )/5 , 
  (
    ('Оценка'!F101 + 4*AVERAGE('Оценка'!F101:G101) + 'Оценка'!G101)/6 + 
    2*(('Оценка'!G101 - 'Оценка'!F101)/6)
  )/5
) * 
(
  (
    ('PM (Расчеты)'!$C$22/8 + 'PM (Расчеты)'!$C$23/40) + 
    'PM (Расчеты)'!$C$21/100 + 'PM (Расчеты)'!$C$25/100 + 
    'PM (Расчеты)'!$C$26/100
  ) + 1
))*5)
</f>
        <v>1.6</v>
      </c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  <c r="AB101" s="133"/>
      <c r="AC101" s="133"/>
      <c r="AD101" s="133"/>
      <c r="AE101" s="133"/>
      <c r="AF101" s="133"/>
    </row>
    <row r="102">
      <c r="A102" s="184">
        <v>5.0</v>
      </c>
      <c r="B102" s="142"/>
      <c r="C102" s="165"/>
      <c r="D102" s="189" t="s">
        <v>153</v>
      </c>
      <c r="E102" s="165"/>
      <c r="F102" s="162"/>
      <c r="G102" s="162"/>
      <c r="H102" s="146" t="str">
        <f>IF(OR(ISBLANK('Оценка'!F102), ISBLANK('Оценка'!G102)), "", 
(AVERAGE(
  (
    ('Оценка'!F102 + 4*AVERAGE('Оценка'!F102:G102) + 'Оценка'!G102)/6 - 
    2*(('Оценка'!G102 - 'Оценка'!F102)/6)
  )/5 , 
  (
    ('Оценка'!F102 + 4*AVERAGE('Оценка'!F102:G102) + 'Оценка'!G102)/6 + 
    2*(('Оценка'!G102 - 'Оценка'!F102)/6)
  )/5
) * 
(
  (
    ('PM (Расчеты)'!$C$22/8 + 'PM (Расчеты)'!$C$23/40) + 
    'PM (Расчеты)'!$C$21/100 + 'PM (Расчеты)'!$C$25/100 + 
    'PM (Расчеты)'!$C$26/100
  ) + 1
))*5)
</f>
        <v/>
      </c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3"/>
      <c r="AC102" s="133"/>
      <c r="AD102" s="133"/>
      <c r="AE102" s="133"/>
      <c r="AF102" s="133"/>
    </row>
    <row r="103">
      <c r="A103" s="184">
        <v>5.0</v>
      </c>
      <c r="B103" s="184" t="s">
        <v>12</v>
      </c>
      <c r="C103" s="190" t="s">
        <v>154</v>
      </c>
      <c r="D103" s="165"/>
      <c r="E103" s="165"/>
      <c r="F103" s="170">
        <v>3.0</v>
      </c>
      <c r="G103" s="170">
        <v>4.0</v>
      </c>
      <c r="H103" s="146">
        <f>IF(OR(ISBLANK('Оценка'!F103), ISBLANK('Оценка'!G103)), "", 
(AVERAGE(
  (
    ('Оценка'!F103 + 4*AVERAGE('Оценка'!F103:G103) + 'Оценка'!G103)/6 - 
    2*(('Оценка'!G103 - 'Оценка'!F103)/6)
  )/5 , 
  (
    ('Оценка'!F103 + 4*AVERAGE('Оценка'!F103:G103) + 'Оценка'!G103)/6 + 
    2*(('Оценка'!G103 - 'Оценка'!F103)/6)
  )/5
) * 
(
  (
    ('PM (Расчеты)'!$C$22/8 + 'PM (Расчеты)'!$C$23/40) + 
    'PM (Расчеты)'!$C$21/100 + 'PM (Расчеты)'!$C$25/100 + 
    'PM (Расчеты)'!$C$26/100
  ) + 1
))*5)
</f>
        <v>5.6</v>
      </c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  <c r="AA103" s="133"/>
      <c r="AB103" s="133"/>
      <c r="AC103" s="133"/>
      <c r="AD103" s="133"/>
      <c r="AE103" s="133"/>
      <c r="AF103" s="133"/>
    </row>
    <row r="104">
      <c r="A104" s="184">
        <v>3.0</v>
      </c>
      <c r="B104" s="142" t="s">
        <v>11</v>
      </c>
      <c r="C104" s="166" t="s">
        <v>109</v>
      </c>
      <c r="D104" s="166" t="s">
        <v>110</v>
      </c>
      <c r="E104" s="165"/>
      <c r="F104" s="170">
        <v>2.0</v>
      </c>
      <c r="G104" s="170">
        <v>3.0</v>
      </c>
      <c r="H104" s="146">
        <f>IF(OR(ISBLANK('Оценка'!F104), ISBLANK('Оценка'!G104)), "", 
(AVERAGE(
  (
    ('Оценка'!F104 + 4*AVERAGE('Оценка'!F104:G104) + 'Оценка'!G104)/6 - 
    2*(('Оценка'!G104 - 'Оценка'!F104)/6)
  )/5 , 
  (
    ('Оценка'!F104 + 4*AVERAGE('Оценка'!F104:G104) + 'Оценка'!G104)/6 + 
    2*(('Оценка'!G104 - 'Оценка'!F104)/6)
  )/5
) * 
(
  (
    ('PM (Расчеты)'!$C$22/8 + 'PM (Расчеты)'!$C$23/40) + 
    'PM (Расчеты)'!$C$21/100 + 'PM (Расчеты)'!$C$25/100 + 
    'PM (Расчеты)'!$C$26/100
  ) + 1
))*5)
</f>
        <v>4</v>
      </c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  <c r="AA104" s="133"/>
      <c r="AB104" s="133"/>
      <c r="AC104" s="133"/>
      <c r="AD104" s="133"/>
      <c r="AE104" s="133"/>
      <c r="AF104" s="133"/>
    </row>
    <row r="105">
      <c r="A105" s="184">
        <v>6.0</v>
      </c>
      <c r="B105" s="142" t="s">
        <v>16</v>
      </c>
      <c r="C105" s="166" t="s">
        <v>155</v>
      </c>
      <c r="D105" s="166" t="s">
        <v>156</v>
      </c>
      <c r="E105" s="165"/>
      <c r="F105" s="170">
        <v>15.0</v>
      </c>
      <c r="G105" s="170">
        <v>15.0</v>
      </c>
      <c r="H105" s="146">
        <f>IF(OR(ISBLANK('Оценка'!F105), ISBLANK('Оценка'!G105)), "", 
(AVERAGE(
  (
    ('Оценка'!F105 + 4*AVERAGE('Оценка'!F105:G105) + 'Оценка'!G105)/6 - 
    2*(('Оценка'!G105 - 'Оценка'!F105)/6)
  )/5 , 
  (
    ('Оценка'!F105 + 4*AVERAGE('Оценка'!F105:G105) + 'Оценка'!G105)/6 + 
    2*(('Оценка'!G105 - 'Оценка'!F105)/6)
  )/5
) * 
(
  (
    ('PM (Расчеты)'!$C$22/8 + 'PM (Расчеты)'!$C$23/40) + 
    'PM (Расчеты)'!$C$21/100 + 'PM (Расчеты)'!$C$25/100 + 
    'PM (Расчеты)'!$C$26/100
  ) + 1
))*5)
</f>
        <v>24</v>
      </c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</row>
    <row r="106">
      <c r="A106" s="184">
        <v>6.0</v>
      </c>
      <c r="B106" s="142" t="s">
        <v>16</v>
      </c>
      <c r="C106" s="166" t="s">
        <v>157</v>
      </c>
      <c r="D106" s="166" t="s">
        <v>158</v>
      </c>
      <c r="E106" s="165"/>
      <c r="H106" s="146" t="str">
        <f>IF(OR(ISBLANK('Оценка'!F106), ISBLANK('Оценка'!G106)), "", 
(AVERAGE(
  (
    ('Оценка'!F106 + 4*AVERAGE('Оценка'!F106:G106) + 'Оценка'!G106)/6 - 
    2*(('Оценка'!G106 - 'Оценка'!F106)/6)
  )/5 , 
  (
    ('Оценка'!F106 + 4*AVERAGE('Оценка'!F106:G106) + 'Оценка'!G106)/6 + 
    2*(('Оценка'!G106 - 'Оценка'!F106)/6)
  )/5
) * 
(
  (
    ('PM (Расчеты)'!$C$22/8 + 'PM (Расчеты)'!$C$23/40) + 
    'PM (Расчеты)'!$C$21/100 + 'PM (Расчеты)'!$C$25/100 + 
    'PM (Расчеты)'!$C$26/100
  ) + 1
))*5)
</f>
        <v/>
      </c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  <c r="AA106" s="133"/>
      <c r="AB106" s="133"/>
      <c r="AC106" s="133"/>
      <c r="AD106" s="133"/>
      <c r="AE106" s="133"/>
      <c r="AF106" s="133"/>
    </row>
    <row r="107">
      <c r="A107" s="184">
        <v>6.0</v>
      </c>
      <c r="B107" s="142" t="s">
        <v>16</v>
      </c>
      <c r="C107" s="166" t="s">
        <v>159</v>
      </c>
      <c r="D107" s="172" t="s">
        <v>160</v>
      </c>
      <c r="E107" s="165"/>
      <c r="H107" s="146" t="str">
        <f>IF(OR(ISBLANK('Оценка'!F107), ISBLANK('Оценка'!G107)), "", 
(AVERAGE(
  (
    ('Оценка'!F107 + 4*AVERAGE('Оценка'!F107:G107) + 'Оценка'!G107)/6 - 
    2*(('Оценка'!G107 - 'Оценка'!F107)/6)
  )/5 , 
  (
    ('Оценка'!F107 + 4*AVERAGE('Оценка'!F107:G107) + 'Оценка'!G107)/6 + 
    2*(('Оценка'!G107 - 'Оценка'!F107)/6)
  )/5
) * 
(
  (
    ('PM (Расчеты)'!$C$22/8 + 'PM (Расчеты)'!$C$23/40) + 
    'PM (Расчеты)'!$C$21/100 + 'PM (Расчеты)'!$C$25/100 + 
    'PM (Расчеты)'!$C$26/100
  ) + 1
))*5)
</f>
        <v/>
      </c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  <c r="AA107" s="133"/>
      <c r="AB107" s="133"/>
      <c r="AC107" s="133"/>
      <c r="AD107" s="133"/>
      <c r="AE107" s="133"/>
      <c r="AF107" s="133"/>
    </row>
    <row r="108">
      <c r="A108" s="191"/>
      <c r="B108" s="191"/>
      <c r="C108" s="192"/>
      <c r="D108" s="192"/>
      <c r="E108" s="165"/>
      <c r="F108" s="162"/>
      <c r="G108" s="162"/>
      <c r="H108" s="146" t="str">
        <f>IF(OR(ISBLANK('Оценка'!F108), ISBLANK('Оценка'!G108)), "", 
(AVERAGE(
  (
    ('Оценка'!F108 + 4*AVERAGE('Оценка'!F108:G108) + 'Оценка'!G108)/6 - 
    2*(('Оценка'!G108 - 'Оценка'!F108)/6)
  )/5 , 
  (
    ('Оценка'!F108 + 4*AVERAGE('Оценка'!F108:G108) + 'Оценка'!G108)/6 + 
    2*(('Оценка'!G108 - 'Оценка'!F108)/6)
  )/5
) * 
(
  (
    ('PM (Расчеты)'!$C$22/8 + 'PM (Расчеты)'!$C$23/40) + 
    'PM (Расчеты)'!$C$21/100 + 'PM (Расчеты)'!$C$25/100 + 
    'PM (Расчеты)'!$C$26/100
  ) + 1
))*5)
</f>
        <v/>
      </c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  <c r="AA108" s="133"/>
      <c r="AB108" s="133"/>
      <c r="AC108" s="133"/>
      <c r="AD108" s="133"/>
      <c r="AE108" s="133"/>
      <c r="AF108" s="133"/>
    </row>
    <row r="109">
      <c r="A109" s="193">
        <v>7.0</v>
      </c>
      <c r="B109" s="193" t="s">
        <v>15</v>
      </c>
      <c r="C109" s="194" t="s">
        <v>162</v>
      </c>
      <c r="D109" s="192"/>
      <c r="E109" s="165"/>
      <c r="F109" s="170">
        <v>15.0</v>
      </c>
      <c r="G109" s="170">
        <v>15.0</v>
      </c>
      <c r="H109" s="146">
        <f>IF(OR(ISBLANK('Оценка'!F109), ISBLANK('Оценка'!G109)), "", 
(AVERAGE(
  (
    ('Оценка'!F109 + 4*AVERAGE('Оценка'!F109:G109) + 'Оценка'!G109)/6 - 
    2*(('Оценка'!G109 - 'Оценка'!F109)/6)
  )/5 , 
  (
    ('Оценка'!F109 + 4*AVERAGE('Оценка'!F109:G109) + 'Оценка'!G109)/6 + 
    2*(('Оценка'!G109 - 'Оценка'!F109)/6)
  )/5
) * 
(
  (
    ('PM (Расчеты)'!$C$22/8 + 'PM (Расчеты)'!$C$23/40) + 
    'PM (Расчеты)'!$C$21/100 + 'PM (Расчеты)'!$C$25/100 + 
    'PM (Расчеты)'!$C$26/100
  ) + 1
))*5)
</f>
        <v>24</v>
      </c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  <c r="AC109" s="133"/>
      <c r="AD109" s="133"/>
      <c r="AE109" s="133"/>
      <c r="AF109" s="133"/>
    </row>
    <row r="110">
      <c r="A110" s="191"/>
      <c r="B110" s="191"/>
      <c r="C110" s="192"/>
      <c r="D110" s="192"/>
      <c r="E110" s="165"/>
      <c r="F110" s="162"/>
      <c r="G110" s="162"/>
      <c r="H110" s="146" t="str">
        <f>IF(OR(ISBLANK('Оценка'!F110), ISBLANK('Оценка'!G110)), "", 
(AVERAGE(
  (
    ('Оценка'!F110 + 4*AVERAGE('Оценка'!F110:G110) + 'Оценка'!G110)/6 - 
    2*(('Оценка'!G110 - 'Оценка'!F110)/6)
  )/5 , 
  (
    ('Оценка'!F110 + 4*AVERAGE('Оценка'!F110:G110) + 'Оценка'!G110)/6 + 
    2*(('Оценка'!G110 - 'Оценка'!F110)/6)
  )/5
) * 
(
  (
    ('PM (Расчеты)'!$C$22/8 + 'PM (Расчеты)'!$C$23/40) + 
    'PM (Расчеты)'!$C$21/100 + 'PM (Расчеты)'!$C$25/100 + 
    'PM (Расчеты)'!$C$26/100
  ) + 1
))*5)
</f>
        <v/>
      </c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3"/>
      <c r="AC110" s="133"/>
      <c r="AD110" s="133"/>
      <c r="AE110" s="133"/>
      <c r="AF110" s="133"/>
    </row>
    <row r="111">
      <c r="A111" s="193"/>
      <c r="B111" s="193"/>
      <c r="C111" s="195" t="s">
        <v>222</v>
      </c>
      <c r="E111" s="165"/>
      <c r="F111" s="162"/>
      <c r="G111" s="162"/>
      <c r="H111" s="146" t="str">
        <f>IF(OR(ISBLANK('Оценка'!F111), ISBLANK('Оценка'!G111)), "", 
(AVERAGE(
  (
    ('Оценка'!F111 + 4*AVERAGE('Оценка'!F111:G111) + 'Оценка'!G111)/6 - 
    2*(('Оценка'!G111 - 'Оценка'!F111)/6)
  )/5 , 
  (
    ('Оценка'!F111 + 4*AVERAGE('Оценка'!F111:G111) + 'Оценка'!G111)/6 + 
    2*(('Оценка'!G111 - 'Оценка'!F111)/6)
  )/5
) * 
(
  (
    ('PM (Расчеты)'!$C$22/8 + 'PM (Расчеты)'!$C$23/40) + 
    'PM (Расчеты)'!$C$21/100 + 'PM (Расчеты)'!$C$25/100 + 
    'PM (Расчеты)'!$C$26/100
  ) + 1
))*5)
</f>
        <v/>
      </c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  <c r="AC111" s="133"/>
      <c r="AD111" s="133"/>
      <c r="AE111" s="133"/>
      <c r="AF111" s="133"/>
    </row>
    <row r="112">
      <c r="A112" s="193">
        <v>4.0</v>
      </c>
      <c r="B112" s="193" t="s">
        <v>11</v>
      </c>
      <c r="C112" s="194" t="s">
        <v>111</v>
      </c>
      <c r="D112" s="194" t="s">
        <v>112</v>
      </c>
      <c r="E112" s="165"/>
      <c r="F112" s="170">
        <v>0.5</v>
      </c>
      <c r="G112" s="171">
        <v>1.0</v>
      </c>
      <c r="H112" s="146">
        <f>IF(OR(ISBLANK('Оценка'!F112), ISBLANK('Оценка'!G112)), "", 
(AVERAGE(
  (
    ('Оценка'!F112 + 4*AVERAGE('Оценка'!F112:G112) + 'Оценка'!G112)/6 - 
    2*(('Оценка'!G112 - 'Оценка'!F112)/6)
  )/5 , 
  (
    ('Оценка'!F112 + 4*AVERAGE('Оценка'!F112:G112) + 'Оценка'!G112)/6 + 
    2*(('Оценка'!G112 - 'Оценка'!F112)/6)
  )/5
) * 
(
  (
    ('PM (Расчеты)'!$C$22/8 + 'PM (Расчеты)'!$C$23/40) + 
    'PM (Расчеты)'!$C$21/100 + 'PM (Расчеты)'!$C$25/100 + 
    'PM (Расчеты)'!$C$26/100
  ) + 1
))*5)
</f>
        <v>1.2</v>
      </c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</row>
    <row r="113">
      <c r="A113" s="193">
        <v>4.0</v>
      </c>
      <c r="B113" s="193" t="s">
        <v>11</v>
      </c>
      <c r="C113" s="194" t="s">
        <v>113</v>
      </c>
      <c r="D113" s="194" t="s">
        <v>114</v>
      </c>
      <c r="E113" s="165"/>
      <c r="F113" s="170">
        <v>1.0</v>
      </c>
      <c r="G113" s="170">
        <v>2.0</v>
      </c>
      <c r="H113" s="146">
        <f>IF(OR(ISBLANK('Оценка'!F113), ISBLANK('Оценка'!G113)), "", 
(AVERAGE(
  (
    ('Оценка'!F113 + 4*AVERAGE('Оценка'!F113:G113) + 'Оценка'!G113)/6 - 
    2*(('Оценка'!G113 - 'Оценка'!F113)/6)
  )/5 , 
  (
    ('Оценка'!F113 + 4*AVERAGE('Оценка'!F113:G113) + 'Оценка'!G113)/6 + 
    2*(('Оценка'!G113 - 'Оценка'!F113)/6)
  )/5
) * 
(
  (
    ('PM (Расчеты)'!$C$22/8 + 'PM (Расчеты)'!$C$23/40) + 
    'PM (Расчеты)'!$C$21/100 + 'PM (Расчеты)'!$C$25/100 + 
    'PM (Расчеты)'!$C$26/100
  ) + 1
))*5)
</f>
        <v>2.4</v>
      </c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  <c r="AC113" s="133"/>
      <c r="AD113" s="133"/>
      <c r="AE113" s="133"/>
      <c r="AF113" s="133"/>
    </row>
    <row r="114">
      <c r="A114" s="191"/>
      <c r="B114" s="191"/>
      <c r="C114" s="192"/>
      <c r="D114" s="192"/>
      <c r="E114" s="165"/>
      <c r="F114" s="162"/>
      <c r="G114" s="162"/>
      <c r="H114" s="146" t="str">
        <f>IF(OR(ISBLANK('Оценка'!F114), ISBLANK('Оценка'!G114)), "", 
(AVERAGE(
  (
    ('Оценка'!F114 + 4*AVERAGE('Оценка'!F114:G114) + 'Оценка'!G114)/6 - 
    2*(('Оценка'!G114 - 'Оценка'!F114)/6)
  )/5 , 
  (
    ('Оценка'!F114 + 4*AVERAGE('Оценка'!F114:G114) + 'Оценка'!G114)/6 + 
    2*(('Оценка'!G114 - 'Оценка'!F114)/6)
  )/5
) * 
(
  (
    ('PM (Расчеты)'!$C$22/8 + 'PM (Расчеты)'!$C$23/40) + 
    'PM (Расчеты)'!$C$21/100 + 'PM (Расчеты)'!$C$25/100 + 
    'PM (Расчеты)'!$C$26/100
  ) + 1
))*5)
</f>
        <v/>
      </c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  <c r="AC114" s="133"/>
      <c r="AD114" s="133"/>
      <c r="AE114" s="133"/>
      <c r="AF114" s="133"/>
    </row>
    <row r="115">
      <c r="A115" s="191"/>
      <c r="B115" s="191"/>
      <c r="C115" s="192"/>
      <c r="D115" s="192"/>
      <c r="E115" s="192"/>
      <c r="F115" s="162"/>
      <c r="G115" s="163"/>
      <c r="H115" s="146" t="str">
        <f>IF(OR(ISBLANK('Оценка'!F115), ISBLANK('Оценка'!G115)), "", 
(AVERAGE(
  (
    ('Оценка'!F115 + 4*AVERAGE('Оценка'!F115:G115) + 'Оценка'!G115)/6 - 
    2*(('Оценка'!G115 - 'Оценка'!F115)/6)
  )/5 , 
  (
    ('Оценка'!F115 + 4*AVERAGE('Оценка'!F115:G115) + 'Оценка'!G115)/6 + 
    2*(('Оценка'!G115 - 'Оценка'!F115)/6)
  )/5
) * 
(
  (
    ('PM (Расчеты)'!$C$22/8 + 'PM (Расчеты)'!$C$23/40) + 
    'PM (Расчеты)'!$C$21/100 + 'PM (Расчеты)'!$C$25/100 + 
    'PM (Расчеты)'!$C$26/100
  ) + 1
))*5)
</f>
        <v/>
      </c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  <c r="AC115" s="133"/>
      <c r="AD115" s="133"/>
      <c r="AE115" s="133"/>
      <c r="AF115" s="133"/>
    </row>
    <row r="116">
      <c r="A116" s="191"/>
      <c r="B116" s="191"/>
      <c r="C116" s="192"/>
      <c r="D116" s="192"/>
      <c r="E116" s="192"/>
      <c r="F116" s="162"/>
      <c r="G116" s="163"/>
      <c r="H116" s="146" t="str">
        <f>IF(OR(ISBLANK('Оценка'!F116), ISBLANK('Оценка'!G116)), "", 
(AVERAGE(
  (
    ('Оценка'!F116 + 4*AVERAGE('Оценка'!F116:G116) + 'Оценка'!G116)/6 - 
    2*(('Оценка'!G116 - 'Оценка'!F116)/6)
  )/5 , 
  (
    ('Оценка'!F116 + 4*AVERAGE('Оценка'!F116:G116) + 'Оценка'!G116)/6 + 
    2*(('Оценка'!G116 - 'Оценка'!F116)/6)
  )/5
) * 
(
  (
    ('PM (Расчеты)'!$C$22/8 + 'PM (Расчеты)'!$C$23/40) + 
    'PM (Расчеты)'!$C$21/100 + 'PM (Расчеты)'!$C$25/100 + 
    'PM (Расчеты)'!$C$26/100
  ) + 1
))*5)
</f>
        <v/>
      </c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  <c r="AC116" s="133"/>
      <c r="AD116" s="133"/>
      <c r="AE116" s="133"/>
      <c r="AF116" s="133"/>
    </row>
    <row r="117">
      <c r="A117" s="191"/>
      <c r="B117" s="191"/>
      <c r="C117" s="192"/>
      <c r="D117" s="192"/>
      <c r="E117" s="192"/>
      <c r="F117" s="162"/>
      <c r="G117" s="163"/>
      <c r="H117" s="146" t="str">
        <f>IF(OR(ISBLANK('Оценка'!F117), ISBLANK('Оценка'!G117)), "", 
(AVERAGE(
  (
    ('Оценка'!F117 + 4*AVERAGE('Оценка'!F117:G117) + 'Оценка'!G117)/6 - 
    2*(('Оценка'!G117 - 'Оценка'!F117)/6)
  )/5 , 
  (
    ('Оценка'!F117 + 4*AVERAGE('Оценка'!F117:G117) + 'Оценка'!G117)/6 + 
    2*(('Оценка'!G117 - 'Оценка'!F117)/6)
  )/5
) * 
(
  (
    ('PM (Расчеты)'!$C$22/8 + 'PM (Расчеты)'!$C$23/40) + 
    'PM (Расчеты)'!$C$21/100 + 'PM (Расчеты)'!$C$25/100 + 
    'PM (Расчеты)'!$C$26/100
  ) + 1
))*5)
</f>
        <v/>
      </c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  <c r="AC117" s="133"/>
      <c r="AD117" s="133"/>
      <c r="AE117" s="133"/>
      <c r="AF117" s="133"/>
    </row>
    <row r="118">
      <c r="A118" s="191"/>
      <c r="B118" s="191"/>
      <c r="C118" s="192"/>
      <c r="D118" s="192"/>
      <c r="E118" s="192"/>
      <c r="F118" s="162"/>
      <c r="G118" s="163"/>
      <c r="H118" s="146" t="str">
        <f>IF(OR(ISBLANK('Оценка'!F118), ISBLANK('Оценка'!G118)), "", 
(AVERAGE(
  (
    ('Оценка'!F118 + 4*AVERAGE('Оценка'!F118:G118) + 'Оценка'!G118)/6 - 
    2*(('Оценка'!G118 - 'Оценка'!F118)/6)
  )/5 , 
  (
    ('Оценка'!F118 + 4*AVERAGE('Оценка'!F118:G118) + 'Оценка'!G118)/6 + 
    2*(('Оценка'!G118 - 'Оценка'!F118)/6)
  )/5
) * 
(
  (
    ('PM (Расчеты)'!$C$22/8 + 'PM (Расчеты)'!$C$23/40) + 
    'PM (Расчеты)'!$C$21/100 + 'PM (Расчеты)'!$C$25/100 + 
    'PM (Расчеты)'!$C$26/100
  ) + 1
))*5)
</f>
        <v/>
      </c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  <c r="AC118" s="133"/>
      <c r="AD118" s="133"/>
      <c r="AE118" s="133"/>
      <c r="AF118" s="133"/>
    </row>
    <row r="119">
      <c r="A119" s="191"/>
      <c r="B119" s="191"/>
      <c r="C119" s="192"/>
      <c r="D119" s="192"/>
      <c r="E119" s="192"/>
      <c r="F119" s="162"/>
      <c r="G119" s="163"/>
      <c r="H119" s="146" t="str">
        <f>IF(OR(ISBLANK('Оценка'!F119), ISBLANK('Оценка'!G119)), "", 
(AVERAGE(
  (
    ('Оценка'!F119 + 4*AVERAGE('Оценка'!F119:G119) + 'Оценка'!G119)/6 - 
    2*(('Оценка'!G119 - 'Оценка'!F119)/6)
  )/5 , 
  (
    ('Оценка'!F119 + 4*AVERAGE('Оценка'!F119:G119) + 'Оценка'!G119)/6 + 
    2*(('Оценка'!G119 - 'Оценка'!F119)/6)
  )/5
) * 
(
  (
    ('PM (Расчеты)'!$C$22/8 + 'PM (Расчеты)'!$C$23/40) + 
    'PM (Расчеты)'!$C$21/100 + 'PM (Расчеты)'!$C$25/100 + 
    'PM (Расчеты)'!$C$26/100
  ) + 1
))*5)
</f>
        <v/>
      </c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</row>
    <row r="120">
      <c r="A120" s="191"/>
      <c r="B120" s="191"/>
      <c r="C120" s="192"/>
      <c r="D120" s="192"/>
      <c r="E120" s="192"/>
      <c r="F120" s="162"/>
      <c r="G120" s="163"/>
      <c r="H120" s="146" t="str">
        <f>IF(OR(ISBLANK('Оценка'!F120), ISBLANK('Оценка'!G120)), "", 
(AVERAGE(
  (
    ('Оценка'!F120 + 4*AVERAGE('Оценка'!F120:G120) + 'Оценка'!G120)/6 - 
    2*(('Оценка'!G120 - 'Оценка'!F120)/6)
  )/5 , 
  (
    ('Оценка'!F120 + 4*AVERAGE('Оценка'!F120:G120) + 'Оценка'!G120)/6 + 
    2*(('Оценка'!G120 - 'Оценка'!F120)/6)
  )/5
) * 
(
  (
    ('PM (Расчеты)'!$C$22/8 + 'PM (Расчеты)'!$C$23/40) + 
    'PM (Расчеты)'!$C$21/100 + 'PM (Расчеты)'!$C$25/100 + 
    'PM (Расчеты)'!$C$26/100
  ) + 1
))*5)
</f>
        <v/>
      </c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</row>
    <row r="121">
      <c r="A121" s="191"/>
      <c r="B121" s="191"/>
      <c r="C121" s="192"/>
      <c r="D121" s="192"/>
      <c r="E121" s="192"/>
      <c r="F121" s="162"/>
      <c r="G121" s="163"/>
      <c r="H121" s="146" t="str">
        <f>IF(OR(ISBLANK('Оценка'!F121), ISBLANK('Оценка'!G121)), "", 
(AVERAGE(
  (
    ('Оценка'!F121 + 4*AVERAGE('Оценка'!F121:G121) + 'Оценка'!G121)/6 - 
    2*(('Оценка'!G121 - 'Оценка'!F121)/6)
  )/5 , 
  (
    ('Оценка'!F121 + 4*AVERAGE('Оценка'!F121:G121) + 'Оценка'!G121)/6 + 
    2*(('Оценка'!G121 - 'Оценка'!F121)/6)
  )/5
) * 
(
  (
    ('PM (Расчеты)'!$C$22/8 + 'PM (Расчеты)'!$C$23/40) + 
    'PM (Расчеты)'!$C$21/100 + 'PM (Расчеты)'!$C$25/100 + 
    'PM (Расчеты)'!$C$26/100
  ) + 1
))*5)
</f>
        <v/>
      </c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</row>
    <row r="122">
      <c r="A122" s="191"/>
      <c r="B122" s="191"/>
      <c r="C122" s="192"/>
      <c r="D122" s="192"/>
      <c r="E122" s="192"/>
      <c r="F122" s="162"/>
      <c r="G122" s="163"/>
      <c r="H122" s="146" t="str">
        <f>IF(OR(ISBLANK('Оценка'!F122), ISBLANK('Оценка'!G122)), "", 
(AVERAGE(
  (
    ('Оценка'!F122 + 4*AVERAGE('Оценка'!F122:G122) + 'Оценка'!G122)/6 - 
    2*(('Оценка'!G122 - 'Оценка'!F122)/6)
  )/5 , 
  (
    ('Оценка'!F122 + 4*AVERAGE('Оценка'!F122:G122) + 'Оценка'!G122)/6 + 
    2*(('Оценка'!G122 - 'Оценка'!F122)/6)
  )/5
) * 
(
  (
    ('PM (Расчеты)'!$C$22/8 + 'PM (Расчеты)'!$C$23/40) + 
    'PM (Расчеты)'!$C$21/100 + 'PM (Расчеты)'!$C$25/100 + 
    'PM (Расчеты)'!$C$26/100
  ) + 1
))*5)
</f>
        <v/>
      </c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</row>
    <row r="123">
      <c r="A123" s="191"/>
      <c r="B123" s="191"/>
      <c r="C123" s="192"/>
      <c r="D123" s="192"/>
      <c r="E123" s="192"/>
      <c r="F123" s="162"/>
      <c r="G123" s="163"/>
      <c r="H123" s="146" t="str">
        <f>IF(OR(ISBLANK('Оценка'!F123), ISBLANK('Оценка'!G123)), "", 
(AVERAGE(
  (
    ('Оценка'!F123 + 4*AVERAGE('Оценка'!F123:G123) + 'Оценка'!G123)/6 - 
    2*(('Оценка'!G123 - 'Оценка'!F123)/6)
  )/5 , 
  (
    ('Оценка'!F123 + 4*AVERAGE('Оценка'!F123:G123) + 'Оценка'!G123)/6 + 
    2*(('Оценка'!G123 - 'Оценка'!F123)/6)
  )/5
) * 
(
  (
    ('PM (Расчеты)'!$C$22/8 + 'PM (Расчеты)'!$C$23/40) + 
    'PM (Расчеты)'!$C$21/100 + 'PM (Расчеты)'!$C$25/100 + 
    'PM (Расчеты)'!$C$26/100
  ) + 1
))*5)
</f>
        <v/>
      </c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</row>
    <row r="124">
      <c r="A124" s="191"/>
      <c r="B124" s="191"/>
      <c r="C124" s="192"/>
      <c r="D124" s="192"/>
      <c r="E124" s="192"/>
      <c r="F124" s="162"/>
      <c r="G124" s="163"/>
      <c r="H124" s="146" t="str">
        <f>IF(OR(ISBLANK('Оценка'!F124), ISBLANK('Оценка'!G124)), "", 
(AVERAGE(
  (
    ('Оценка'!F124 + 4*AVERAGE('Оценка'!F124:G124) + 'Оценка'!G124)/6 - 
    2*(('Оценка'!G124 - 'Оценка'!F124)/6)
  )/5 , 
  (
    ('Оценка'!F124 + 4*AVERAGE('Оценка'!F124:G124) + 'Оценка'!G124)/6 + 
    2*(('Оценка'!G124 - 'Оценка'!F124)/6)
  )/5
) * 
(
  (
    ('PM (Расчеты)'!$C$22/8 + 'PM (Расчеты)'!$C$23/40) + 
    'PM (Расчеты)'!$C$21/100 + 'PM (Расчеты)'!$C$25/100 + 
    'PM (Расчеты)'!$C$26/100
  ) + 1
))*5)
</f>
        <v/>
      </c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</row>
    <row r="125">
      <c r="A125" s="191"/>
      <c r="B125" s="191"/>
      <c r="C125" s="192"/>
      <c r="D125" s="192"/>
      <c r="E125" s="192"/>
      <c r="F125" s="162"/>
      <c r="G125" s="163"/>
      <c r="H125" s="146" t="str">
        <f>IF(OR(ISBLANK('Оценка'!F125), ISBLANK('Оценка'!G125)), "", 
(AVERAGE(
  (
    ('Оценка'!F125 + 4*AVERAGE('Оценка'!F125:G125) + 'Оценка'!G125)/6 - 
    2*(('Оценка'!G125 - 'Оценка'!F125)/6)
  )/5 , 
  (
    ('Оценка'!F125 + 4*AVERAGE('Оценка'!F125:G125) + 'Оценка'!G125)/6 + 
    2*(('Оценка'!G125 - 'Оценка'!F125)/6)
  )/5
) * 
(
  (
    ('PM (Расчеты)'!$C$22/8 + 'PM (Расчеты)'!$C$23/40) + 
    'PM (Расчеты)'!$C$21/100 + 'PM (Расчеты)'!$C$25/100 + 
    'PM (Расчеты)'!$C$26/100
  ) + 1
))*5)
</f>
        <v/>
      </c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</row>
    <row r="126">
      <c r="A126" s="191"/>
      <c r="B126" s="191"/>
      <c r="C126" s="192"/>
      <c r="D126" s="192"/>
      <c r="E126" s="192"/>
      <c r="F126" s="162"/>
      <c r="G126" s="163"/>
      <c r="H126" s="146" t="str">
        <f>IF(OR(ISBLANK('Оценка'!F126), ISBLANK('Оценка'!G126)), "", 
(AVERAGE(
  (
    ('Оценка'!F126 + 4*AVERAGE('Оценка'!F126:G126) + 'Оценка'!G126)/6 - 
    2*(('Оценка'!G126 - 'Оценка'!F126)/6)
  )/5 , 
  (
    ('Оценка'!F126 + 4*AVERAGE('Оценка'!F126:G126) + 'Оценка'!G126)/6 + 
    2*(('Оценка'!G126 - 'Оценка'!F126)/6)
  )/5
) * 
(
  (
    ('PM (Расчеты)'!$C$22/8 + 'PM (Расчеты)'!$C$23/40) + 
    'PM (Расчеты)'!$C$21/100 + 'PM (Расчеты)'!$C$25/100 + 
    'PM (Расчеты)'!$C$26/100
  ) + 1
))*5)
</f>
        <v/>
      </c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</row>
    <row r="127">
      <c r="A127" s="191"/>
      <c r="B127" s="191"/>
      <c r="C127" s="192"/>
      <c r="D127" s="192"/>
      <c r="E127" s="192"/>
      <c r="F127" s="162"/>
      <c r="G127" s="163"/>
      <c r="H127" s="146" t="str">
        <f>IF(OR(ISBLANK('Оценка'!F127), ISBLANK('Оценка'!G127)), "", 
(AVERAGE(
  (
    ('Оценка'!F127 + 4*AVERAGE('Оценка'!F127:G127) + 'Оценка'!G127)/6 - 
    2*(('Оценка'!G127 - 'Оценка'!F127)/6)
  )/5 , 
  (
    ('Оценка'!F127 + 4*AVERAGE('Оценка'!F127:G127) + 'Оценка'!G127)/6 + 
    2*(('Оценка'!G127 - 'Оценка'!F127)/6)
  )/5
) * 
(
  (
    ('PM (Расчеты)'!$C$22/8 + 'PM (Расчеты)'!$C$23/40) + 
    'PM (Расчеты)'!$C$21/100 + 'PM (Расчеты)'!$C$25/100 + 
    'PM (Расчеты)'!$C$26/100
  ) + 1
))*5)
</f>
        <v/>
      </c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</row>
    <row r="128">
      <c r="A128" s="191"/>
      <c r="B128" s="191"/>
      <c r="C128" s="192"/>
      <c r="D128" s="192"/>
      <c r="E128" s="192"/>
      <c r="F128" s="162"/>
      <c r="G128" s="163"/>
      <c r="H128" s="146" t="str">
        <f>IF(OR(ISBLANK('Оценка'!F128), ISBLANK('Оценка'!G128)), "", 
(AVERAGE(
  (
    ('Оценка'!F128 + 4*AVERAGE('Оценка'!F128:G128) + 'Оценка'!G128)/6 - 
    2*(('Оценка'!G128 - 'Оценка'!F128)/6)
  )/5 , 
  (
    ('Оценка'!F128 + 4*AVERAGE('Оценка'!F128:G128) + 'Оценка'!G128)/6 + 
    2*(('Оценка'!G128 - 'Оценка'!F128)/6)
  )/5
) * 
(
  (
    ('PM (Расчеты)'!$C$22/8 + 'PM (Расчеты)'!$C$23/40) + 
    'PM (Расчеты)'!$C$21/100 + 'PM (Расчеты)'!$C$25/100 + 
    'PM (Расчеты)'!$C$26/100
  ) + 1
))*5)
</f>
        <v/>
      </c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</row>
    <row r="129">
      <c r="A129" s="191"/>
      <c r="B129" s="191"/>
      <c r="C129" s="192"/>
      <c r="D129" s="192"/>
      <c r="E129" s="192"/>
      <c r="F129" s="162"/>
      <c r="G129" s="163"/>
      <c r="H129" s="146" t="str">
        <f>IF(OR(ISBLANK('Оценка'!F129), ISBLANK('Оценка'!G129)), "", 
(AVERAGE(
  (
    ('Оценка'!F129 + 4*AVERAGE('Оценка'!F129:G129) + 'Оценка'!G129)/6 - 
    2*(('Оценка'!G129 - 'Оценка'!F129)/6)
  )/5 , 
  (
    ('Оценка'!F129 + 4*AVERAGE('Оценка'!F129:G129) + 'Оценка'!G129)/6 + 
    2*(('Оценка'!G129 - 'Оценка'!F129)/6)
  )/5
) * 
(
  (
    ('PM (Расчеты)'!$C$22/8 + 'PM (Расчеты)'!$C$23/40) + 
    'PM (Расчеты)'!$C$21/100 + 'PM (Расчеты)'!$C$25/100 + 
    'PM (Расчеты)'!$C$26/100
  ) + 1
))*5)
</f>
        <v/>
      </c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</row>
    <row r="130">
      <c r="A130" s="191"/>
      <c r="B130" s="191"/>
      <c r="C130" s="192"/>
      <c r="D130" s="192"/>
      <c r="E130" s="192"/>
      <c r="F130" s="162"/>
      <c r="G130" s="163"/>
      <c r="H130" s="146" t="str">
        <f>IF(OR(ISBLANK('Оценка'!F130), ISBLANK('Оценка'!G130)), "", 
(AVERAGE(
  (
    ('Оценка'!F130 + 4*AVERAGE('Оценка'!F130:G130) + 'Оценка'!G130)/6 - 
    2*(('Оценка'!G130 - 'Оценка'!F130)/6)
  )/5 , 
  (
    ('Оценка'!F130 + 4*AVERAGE('Оценка'!F130:G130) + 'Оценка'!G130)/6 + 
    2*(('Оценка'!G130 - 'Оценка'!F130)/6)
  )/5
) * 
(
  (
    ('PM (Расчеты)'!$C$22/8 + 'PM (Расчеты)'!$C$23/40) + 
    'PM (Расчеты)'!$C$21/100 + 'PM (Расчеты)'!$C$25/100 + 
    'PM (Расчеты)'!$C$26/100
  ) + 1
))*5)
</f>
        <v/>
      </c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</row>
    <row r="131">
      <c r="A131" s="191"/>
      <c r="B131" s="191"/>
      <c r="C131" s="192"/>
      <c r="D131" s="192"/>
      <c r="E131" s="192"/>
      <c r="F131" s="162"/>
      <c r="G131" s="163"/>
      <c r="H131" s="146" t="str">
        <f>IF(OR(ISBLANK('Оценка'!F131), ISBLANK('Оценка'!G131)), "", 
(AVERAGE(
  (
    ('Оценка'!F131 + 4*AVERAGE('Оценка'!F131:G131) + 'Оценка'!G131)/6 - 
    2*(('Оценка'!G131 - 'Оценка'!F131)/6)
  )/5 , 
  (
    ('Оценка'!F131 + 4*AVERAGE('Оценка'!F131:G131) + 'Оценка'!G131)/6 + 
    2*(('Оценка'!G131 - 'Оценка'!F131)/6)
  )/5
) * 
(
  (
    ('PM (Расчеты)'!$C$22/8 + 'PM (Расчеты)'!$C$23/40) + 
    'PM (Расчеты)'!$C$21/100 + 'PM (Расчеты)'!$C$25/100 + 
    'PM (Расчеты)'!$C$26/100
  ) + 1
))*5)
</f>
        <v/>
      </c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</row>
    <row r="132">
      <c r="A132" s="191"/>
      <c r="B132" s="191"/>
      <c r="C132" s="192"/>
      <c r="D132" s="192"/>
      <c r="E132" s="192"/>
      <c r="F132" s="162"/>
      <c r="G132" s="162"/>
      <c r="H132" s="146" t="str">
        <f>IF(OR(ISBLANK('Оценка'!F132), ISBLANK('Оценка'!G132)), "", 
(AVERAGE(
  (
    ('Оценка'!F132 + 4*AVERAGE('Оценка'!F132:G132) + 'Оценка'!G132)/6 - 
    2*(('Оценка'!G132 - 'Оценка'!F132)/6)
  )/5 , 
  (
    ('Оценка'!F132 + 4*AVERAGE('Оценка'!F132:G132) + 'Оценка'!G132)/6 + 
    2*(('Оценка'!G132 - 'Оценка'!F132)/6)
  )/5
) * 
(
  (
    ('PM (Расчеты)'!$C$22/8 + 'PM (Расчеты)'!$C$23/40) + 
    'PM (Расчеты)'!$C$21/100 + 'PM (Расчеты)'!$C$25/100 + 
    'PM (Расчеты)'!$C$26/100
  ) + 1
))*5)
</f>
        <v/>
      </c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</row>
    <row r="133">
      <c r="A133" s="191"/>
      <c r="B133" s="191"/>
      <c r="C133" s="192"/>
      <c r="D133" s="192"/>
      <c r="E133" s="192"/>
      <c r="F133" s="162"/>
      <c r="G133" s="162"/>
      <c r="H133" s="146" t="str">
        <f>IF(OR(ISBLANK('Оценка'!F133), ISBLANK('Оценка'!G133)), "", 
(AVERAGE(
  (
    ('Оценка'!F133 + 4*AVERAGE('Оценка'!F133:G133) + 'Оценка'!G133)/6 - 
    2*(('Оценка'!G133 - 'Оценка'!F133)/6)
  )/5 , 
  (
    ('Оценка'!F133 + 4*AVERAGE('Оценка'!F133:G133) + 'Оценка'!G133)/6 + 
    2*(('Оценка'!G133 - 'Оценка'!F133)/6)
  )/5
) * 
(
  (
    ('PM (Расчеты)'!$C$22/8 + 'PM (Расчеты)'!$C$23/40) + 
    'PM (Расчеты)'!$C$21/100 + 'PM (Расчеты)'!$C$25/100 + 
    'PM (Расчеты)'!$C$26/100
  ) + 1
))*5)
</f>
        <v/>
      </c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</row>
    <row r="134">
      <c r="A134" s="191"/>
      <c r="B134" s="191"/>
      <c r="C134" s="192"/>
      <c r="D134" s="192"/>
      <c r="E134" s="192"/>
      <c r="F134" s="162"/>
      <c r="G134" s="162"/>
      <c r="H134" s="146" t="str">
        <f>IF(OR(ISBLANK('Оценка'!F134), ISBLANK('Оценка'!G134)), "", 
(AVERAGE(
  (
    ('Оценка'!F134 + 4*AVERAGE('Оценка'!F134:G134) + 'Оценка'!G134)/6 - 
    2*(('Оценка'!G134 - 'Оценка'!F134)/6)
  )/5 , 
  (
    ('Оценка'!F134 + 4*AVERAGE('Оценка'!F134:G134) + 'Оценка'!G134)/6 + 
    2*(('Оценка'!G134 - 'Оценка'!F134)/6)
  )/5
) * 
(
  (
    ('PM (Расчеты)'!$C$22/8 + 'PM (Расчеты)'!$C$23/40) + 
    'PM (Расчеты)'!$C$21/100 + 'PM (Расчеты)'!$C$25/100 + 
    'PM (Расчеты)'!$C$26/100
  ) + 1
))*5)
</f>
        <v/>
      </c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</row>
    <row r="135">
      <c r="A135" s="191"/>
      <c r="B135" s="191"/>
      <c r="C135" s="192"/>
      <c r="D135" s="192"/>
      <c r="E135" s="192"/>
      <c r="F135" s="162"/>
      <c r="G135" s="162"/>
      <c r="H135" s="146" t="str">
        <f>IF(OR(ISBLANK('Оценка'!F135), ISBLANK('Оценка'!G135)), "", 
(AVERAGE(
  (
    ('Оценка'!F135 + 4*AVERAGE('Оценка'!F135:G135) + 'Оценка'!G135)/6 - 
    2*(('Оценка'!G135 - 'Оценка'!F135)/6)
  )/5 , 
  (
    ('Оценка'!F135 + 4*AVERAGE('Оценка'!F135:G135) + 'Оценка'!G135)/6 + 
    2*(('Оценка'!G135 - 'Оценка'!F135)/6)
  )/5
) * 
(
  (
    ('PM (Расчеты)'!$C$22/8 + 'PM (Расчеты)'!$C$23/40) + 
    'PM (Расчеты)'!$C$21/100 + 'PM (Расчеты)'!$C$25/100 + 
    'PM (Расчеты)'!$C$26/100
  ) + 1
))*5)
</f>
        <v/>
      </c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</row>
    <row r="136">
      <c r="A136" s="191"/>
      <c r="B136" s="191"/>
      <c r="C136" s="192"/>
      <c r="D136" s="192"/>
      <c r="E136" s="192"/>
      <c r="F136" s="162"/>
      <c r="G136" s="162"/>
      <c r="H136" s="146" t="str">
        <f>IF(OR(ISBLANK('Оценка'!F136), ISBLANK('Оценка'!G136)), "", 
(AVERAGE(
  (
    ('Оценка'!F136 + 4*AVERAGE('Оценка'!F136:G136) + 'Оценка'!G136)/6 - 
    2*(('Оценка'!G136 - 'Оценка'!F136)/6)
  )/5 , 
  (
    ('Оценка'!F136 + 4*AVERAGE('Оценка'!F136:G136) + 'Оценка'!G136)/6 + 
    2*(('Оценка'!G136 - 'Оценка'!F136)/6)
  )/5
) * 
(
  (
    ('PM (Расчеты)'!$C$22/8 + 'PM (Расчеты)'!$C$23/40) + 
    'PM (Расчеты)'!$C$21/100 + 'PM (Расчеты)'!$C$25/100 + 
    'PM (Расчеты)'!$C$26/100
  ) + 1
))*5)
</f>
        <v/>
      </c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3"/>
      <c r="AC136" s="133"/>
      <c r="AD136" s="133"/>
      <c r="AE136" s="133"/>
      <c r="AF136" s="133"/>
    </row>
    <row r="137">
      <c r="A137" s="191"/>
      <c r="B137" s="191"/>
      <c r="C137" s="192"/>
      <c r="D137" s="192"/>
      <c r="E137" s="192"/>
      <c r="F137" s="162"/>
      <c r="G137" s="162"/>
      <c r="H137" s="146" t="str">
        <f>IF(OR(ISBLANK('Оценка'!F137), ISBLANK('Оценка'!G137)), "", 
(AVERAGE(
  (
    ('Оценка'!F137 + 4*AVERAGE('Оценка'!F137:G137) + 'Оценка'!G137)/6 - 
    2*(('Оценка'!G137 - 'Оценка'!F137)/6)
  )/5 , 
  (
    ('Оценка'!F137 + 4*AVERAGE('Оценка'!F137:G137) + 'Оценка'!G137)/6 + 
    2*(('Оценка'!G137 - 'Оценка'!F137)/6)
  )/5
) * 
(
  (
    ('PM (Расчеты)'!$C$22/8 + 'PM (Расчеты)'!$C$23/40) + 
    'PM (Расчеты)'!$C$21/100 + 'PM (Расчеты)'!$C$25/100 + 
    'PM (Расчеты)'!$C$26/100
  ) + 1
))*5)
</f>
        <v/>
      </c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</row>
    <row r="138">
      <c r="A138" s="191"/>
      <c r="B138" s="191"/>
      <c r="C138" s="192"/>
      <c r="D138" s="192"/>
      <c r="E138" s="192"/>
      <c r="F138" s="162"/>
      <c r="G138" s="162"/>
      <c r="H138" s="146" t="str">
        <f>IF(OR(ISBLANK('Оценка'!F138), ISBLANK('Оценка'!G138)), "", 
(AVERAGE(
  (
    ('Оценка'!F138 + 4*AVERAGE('Оценка'!F138:G138) + 'Оценка'!G138)/6 - 
    2*(('Оценка'!G138 - 'Оценка'!F138)/6)
  )/5 , 
  (
    ('Оценка'!F138 + 4*AVERAGE('Оценка'!F138:G138) + 'Оценка'!G138)/6 + 
    2*(('Оценка'!G138 - 'Оценка'!F138)/6)
  )/5
) * 
(
  (
    ('PM (Расчеты)'!$C$22/8 + 'PM (Расчеты)'!$C$23/40) + 
    'PM (Расчеты)'!$C$21/100 + 'PM (Расчеты)'!$C$25/100 + 
    'PM (Расчеты)'!$C$26/100
  ) + 1
))*5)
</f>
        <v/>
      </c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  <c r="AB138" s="133"/>
      <c r="AC138" s="133"/>
      <c r="AD138" s="133"/>
      <c r="AE138" s="133"/>
      <c r="AF138" s="133"/>
    </row>
    <row r="139">
      <c r="A139" s="191"/>
      <c r="B139" s="191"/>
      <c r="C139" s="192"/>
      <c r="D139" s="192"/>
      <c r="E139" s="192"/>
      <c r="F139" s="162"/>
      <c r="G139" s="162"/>
      <c r="H139" s="146" t="str">
        <f>IF(OR(ISBLANK('Оценка'!F139), ISBLANK('Оценка'!G139)), "", 
(AVERAGE(
  (
    ('Оценка'!F139 + 4*AVERAGE('Оценка'!F139:G139) + 'Оценка'!G139)/6 - 
    2*(('Оценка'!G139 - 'Оценка'!F139)/6)
  )/5 , 
  (
    ('Оценка'!F139 + 4*AVERAGE('Оценка'!F139:G139) + 'Оценка'!G139)/6 + 
    2*(('Оценка'!G139 - 'Оценка'!F139)/6)
  )/5
) * 
(
  (
    ('PM (Расчеты)'!$C$22/8 + 'PM (Расчеты)'!$C$23/40) + 
    'PM (Расчеты)'!$C$21/100 + 'PM (Расчеты)'!$C$25/100 + 
    'PM (Расчеты)'!$C$26/100
  ) + 1
))*5)
</f>
        <v/>
      </c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  <c r="AB139" s="133"/>
      <c r="AC139" s="133"/>
      <c r="AD139" s="133"/>
      <c r="AE139" s="133"/>
      <c r="AF139" s="133"/>
    </row>
    <row r="140">
      <c r="A140" s="191"/>
      <c r="B140" s="191"/>
      <c r="C140" s="192"/>
      <c r="D140" s="192"/>
      <c r="E140" s="192"/>
      <c r="F140" s="162"/>
      <c r="G140" s="162"/>
      <c r="H140" s="146" t="str">
        <f>IF(OR(ISBLANK('Оценка'!F140), ISBLANK('Оценка'!G140)), "", 
(AVERAGE(
  (
    ('Оценка'!F140 + 4*AVERAGE('Оценка'!F140:G140) + 'Оценка'!G140)/6 - 
    2*(('Оценка'!G140 - 'Оценка'!F140)/6)
  )/5 , 
  (
    ('Оценка'!F140 + 4*AVERAGE('Оценка'!F140:G140) + 'Оценка'!G140)/6 + 
    2*(('Оценка'!G140 - 'Оценка'!F140)/6)
  )/5
) * 
(
  (
    ('PM (Расчеты)'!$C$22/8 + 'PM (Расчеты)'!$C$23/40) + 
    'PM (Расчеты)'!$C$21/100 + 'PM (Расчеты)'!$C$25/100 + 
    'PM (Расчеты)'!$C$26/100
  ) + 1
))*5)
</f>
        <v/>
      </c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  <c r="AB140" s="133"/>
      <c r="AC140" s="133"/>
      <c r="AD140" s="133"/>
      <c r="AE140" s="133"/>
      <c r="AF140" s="133"/>
    </row>
    <row r="141">
      <c r="A141" s="191"/>
      <c r="B141" s="191"/>
      <c r="C141" s="192"/>
      <c r="D141" s="192"/>
      <c r="E141" s="192"/>
      <c r="F141" s="162"/>
      <c r="G141" s="162"/>
      <c r="H141" s="146" t="str">
        <f>IF(OR(ISBLANK('Оценка'!F141), ISBLANK('Оценка'!G141)), "", 
(AVERAGE(
  (
    ('Оценка'!F141 + 4*AVERAGE('Оценка'!F141:G141) + 'Оценка'!G141)/6 - 
    2*(('Оценка'!G141 - 'Оценка'!F141)/6)
  )/5 , 
  (
    ('Оценка'!F141 + 4*AVERAGE('Оценка'!F141:G141) + 'Оценка'!G141)/6 + 
    2*(('Оценка'!G141 - 'Оценка'!F141)/6)
  )/5
) * 
(
  (
    ('PM (Расчеты)'!$C$22/8 + 'PM (Расчеты)'!$C$23/40) + 
    'PM (Расчеты)'!$C$21/100 + 'PM (Расчеты)'!$C$25/100 + 
    'PM (Расчеты)'!$C$26/100
  ) + 1
))*5)
</f>
        <v/>
      </c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  <c r="AA141" s="133"/>
      <c r="AB141" s="133"/>
      <c r="AC141" s="133"/>
      <c r="AD141" s="133"/>
      <c r="AE141" s="133"/>
      <c r="AF141" s="133"/>
    </row>
    <row r="142">
      <c r="A142" s="191"/>
      <c r="B142" s="191"/>
      <c r="C142" s="192"/>
      <c r="D142" s="192"/>
      <c r="E142" s="192"/>
      <c r="F142" s="162"/>
      <c r="G142" s="162"/>
      <c r="H142" s="146" t="str">
        <f>IF(OR(ISBLANK('Оценка'!F142), ISBLANK('Оценка'!G142)), "", 
(AVERAGE(
  (
    ('Оценка'!F142 + 4*AVERAGE('Оценка'!F142:G142) + 'Оценка'!G142)/6 - 
    2*(('Оценка'!G142 - 'Оценка'!F142)/6)
  )/5 , 
  (
    ('Оценка'!F142 + 4*AVERAGE('Оценка'!F142:G142) + 'Оценка'!G142)/6 + 
    2*(('Оценка'!G142 - 'Оценка'!F142)/6)
  )/5
) * 
(
  (
    ('PM (Расчеты)'!$C$22/8 + 'PM (Расчеты)'!$C$23/40) + 
    'PM (Расчеты)'!$C$21/100 + 'PM (Расчеты)'!$C$25/100 + 
    'PM (Расчеты)'!$C$26/100
  ) + 1
))*5)
</f>
        <v/>
      </c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  <c r="AB142" s="133"/>
      <c r="AC142" s="133"/>
      <c r="AD142" s="133"/>
      <c r="AE142" s="133"/>
      <c r="AF142" s="133"/>
    </row>
    <row r="143">
      <c r="A143" s="196"/>
      <c r="B143" s="136"/>
      <c r="C143" s="133"/>
      <c r="D143" s="197"/>
      <c r="E143" s="133"/>
      <c r="F143" s="198"/>
      <c r="G143" s="198"/>
      <c r="H143" s="146" t="str">
        <f>IF(OR(ISBLANK('Оценка'!F143), ISBLANK('Оценка'!G143)), "", 
(AVERAGE(
  (
    ('Оценка'!F143 + 4*AVERAGE('Оценка'!F143:G143) + 'Оценка'!G143)/6 - 
    2*(('Оценка'!G143 - 'Оценка'!F143)/6)
  )/5 , 
  (
    ('Оценка'!F143 + 4*AVERAGE('Оценка'!F143:G143) + 'Оценка'!G143)/6 + 
    2*(('Оценка'!G143 - 'Оценка'!F143)/6)
  )/5
) * 
(
  (
    ('PM (Расчеты)'!$C$22/8 + 'PM (Расчеты)'!$C$23/40) + 
    'PM (Расчеты)'!$C$21/100 + 'PM (Расчеты)'!$C$25/100 + 
    'PM (Расчеты)'!$C$26/100
  ) + 1
))*5)
</f>
        <v/>
      </c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3"/>
      <c r="AC143" s="133"/>
      <c r="AD143" s="133"/>
      <c r="AE143" s="133"/>
      <c r="AF143" s="133"/>
    </row>
    <row r="144">
      <c r="A144" s="196"/>
      <c r="B144" s="136"/>
      <c r="C144" s="133"/>
      <c r="D144" s="197"/>
      <c r="E144" s="133"/>
      <c r="F144" s="198"/>
      <c r="G144" s="198"/>
      <c r="H144" s="146" t="str">
        <f>IF(OR(ISBLANK('Оценка'!F144), ISBLANK('Оценка'!G144)), "", 
(AVERAGE(
  (
    ('Оценка'!F144 + 4*AVERAGE('Оценка'!F144:G144) + 'Оценка'!G144)/6 - 
    2*(('Оценка'!G144 - 'Оценка'!F144)/6)
  )/5 , 
  (
    ('Оценка'!F144 + 4*AVERAGE('Оценка'!F144:G144) + 'Оценка'!G144)/6 + 
    2*(('Оценка'!G144 - 'Оценка'!F144)/6)
  )/5
) * 
(
  (
    ('PM (Расчеты)'!$C$22/8 + 'PM (Расчеты)'!$C$23/40) + 
    'PM (Расчеты)'!$C$21/100 + 'PM (Расчеты)'!$C$25/100 + 
    'PM (Расчеты)'!$C$26/100
  ) + 1
))*5)
</f>
        <v/>
      </c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  <c r="AA144" s="133"/>
      <c r="AB144" s="133"/>
      <c r="AC144" s="133"/>
      <c r="AD144" s="133"/>
      <c r="AE144" s="133"/>
      <c r="AF144" s="133"/>
    </row>
    <row r="145">
      <c r="A145" s="196"/>
      <c r="B145" s="136"/>
      <c r="C145" s="133"/>
      <c r="D145" s="197"/>
      <c r="E145" s="133"/>
      <c r="F145" s="198"/>
      <c r="G145" s="198"/>
      <c r="H145" s="146" t="str">
        <f>IF(OR(ISBLANK('Оценка'!F145), ISBLANK('Оценка'!G145)), "", 
(AVERAGE(
  (
    ('Оценка'!F145 + 4*AVERAGE('Оценка'!F145:G145) + 'Оценка'!G145)/6 - 
    2*(('Оценка'!G145 - 'Оценка'!F145)/6)
  )/5 , 
  (
    ('Оценка'!F145 + 4*AVERAGE('Оценка'!F145:G145) + 'Оценка'!G145)/6 + 
    2*(('Оценка'!G145 - 'Оценка'!F145)/6)
  )/5
) * 
(
  (
    ('PM (Расчеты)'!$C$22/8 + 'PM (Расчеты)'!$C$23/40) + 
    'PM (Расчеты)'!$C$21/100 + 'PM (Расчеты)'!$C$25/100 + 
    'PM (Расчеты)'!$C$26/100
  ) + 1
))*5)
</f>
        <v/>
      </c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/>
      <c r="AC145" s="133"/>
      <c r="AD145" s="133"/>
      <c r="AE145" s="133"/>
      <c r="AF145" s="133"/>
    </row>
    <row r="146">
      <c r="A146" s="196"/>
      <c r="B146" s="136"/>
      <c r="C146" s="133"/>
      <c r="D146" s="197"/>
      <c r="E146" s="133"/>
      <c r="F146" s="198"/>
      <c r="G146" s="198"/>
      <c r="H146" s="146" t="str">
        <f>IF(OR(ISBLANK('Оценка'!F146), ISBLANK('Оценка'!G146)), "", 
(AVERAGE(
  (
    ('Оценка'!F146 + 4*AVERAGE('Оценка'!F146:G146) + 'Оценка'!G146)/6 - 
    2*(('Оценка'!G146 - 'Оценка'!F146)/6)
  )/5 , 
  (
    ('Оценка'!F146 + 4*AVERAGE('Оценка'!F146:G146) + 'Оценка'!G146)/6 + 
    2*(('Оценка'!G146 - 'Оценка'!F146)/6)
  )/5
) * 
(
  (
    ('PM (Расчеты)'!$C$22/8 + 'PM (Расчеты)'!$C$23/40) + 
    'PM (Расчеты)'!$C$21/100 + 'PM (Расчеты)'!$C$25/100 + 
    'PM (Расчеты)'!$C$26/100
  ) + 1
))*5)
</f>
        <v/>
      </c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  <c r="AB146" s="133"/>
      <c r="AC146" s="133"/>
      <c r="AD146" s="133"/>
      <c r="AE146" s="133"/>
      <c r="AF146" s="133"/>
    </row>
    <row r="147">
      <c r="A147" s="196"/>
      <c r="B147" s="136"/>
      <c r="C147" s="133"/>
      <c r="D147" s="197"/>
      <c r="E147" s="133"/>
      <c r="F147" s="198"/>
      <c r="G147" s="198"/>
      <c r="H147" s="146" t="str">
        <f>IF(OR(ISBLANK('Оценка'!F147), ISBLANK('Оценка'!G147)), "", 
(AVERAGE(
  (
    ('Оценка'!F147 + 4*AVERAGE('Оценка'!F147:G147) + 'Оценка'!G147)/6 - 
    2*(('Оценка'!G147 - 'Оценка'!F147)/6)
  )/5 , 
  (
    ('Оценка'!F147 + 4*AVERAGE('Оценка'!F147:G147) + 'Оценка'!G147)/6 + 
    2*(('Оценка'!G147 - 'Оценка'!F147)/6)
  )/5
) * 
(
  (
    ('PM (Расчеты)'!$C$22/8 + 'PM (Расчеты)'!$C$23/40) + 
    'PM (Расчеты)'!$C$21/100 + 'PM (Расчеты)'!$C$25/100 + 
    'PM (Расчеты)'!$C$26/100
  ) + 1
))*5)
</f>
        <v/>
      </c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  <c r="AB147" s="133"/>
      <c r="AC147" s="133"/>
      <c r="AD147" s="133"/>
      <c r="AE147" s="133"/>
      <c r="AF147" s="133"/>
    </row>
    <row r="148">
      <c r="A148" s="196"/>
      <c r="B148" s="136"/>
      <c r="C148" s="133"/>
      <c r="D148" s="197"/>
      <c r="E148" s="133"/>
      <c r="F148" s="198"/>
      <c r="G148" s="198"/>
      <c r="H148" s="146" t="str">
        <f>IF(OR(ISBLANK('Оценка'!F148), ISBLANK('Оценка'!G148)), "", 
(AVERAGE(
  (
    ('Оценка'!F148 + 4*AVERAGE('Оценка'!F148:G148) + 'Оценка'!G148)/6 - 
    2*(('Оценка'!G148 - 'Оценка'!F148)/6)
  )/5 , 
  (
    ('Оценка'!F148 + 4*AVERAGE('Оценка'!F148:G148) + 'Оценка'!G148)/6 + 
    2*(('Оценка'!G148 - 'Оценка'!F148)/6)
  )/5
) * 
(
  (
    ('PM (Расчеты)'!$C$22/8 + 'PM (Расчеты)'!$C$23/40) + 
    'PM (Расчеты)'!$C$21/100 + 'PM (Расчеты)'!$C$25/100 + 
    'PM (Расчеты)'!$C$26/100
  ) + 1
))*5)
</f>
        <v/>
      </c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  <c r="AB148" s="133"/>
      <c r="AC148" s="133"/>
      <c r="AD148" s="133"/>
      <c r="AE148" s="133"/>
      <c r="AF148" s="133"/>
    </row>
    <row r="149">
      <c r="A149" s="196"/>
      <c r="B149" s="136"/>
      <c r="C149" s="133"/>
      <c r="D149" s="197"/>
      <c r="E149" s="133"/>
      <c r="F149" s="198"/>
      <c r="G149" s="198"/>
      <c r="H149" s="146" t="str">
        <f>IF(OR(ISBLANK('Оценка'!F149), ISBLANK('Оценка'!G149)), "", 
(AVERAGE(
  (
    ('Оценка'!F149 + 4*AVERAGE('Оценка'!F149:G149) + 'Оценка'!G149)/6 - 
    2*(('Оценка'!G149 - 'Оценка'!F149)/6)
  )/5 , 
  (
    ('Оценка'!F149 + 4*AVERAGE('Оценка'!F149:G149) + 'Оценка'!G149)/6 + 
    2*(('Оценка'!G149 - 'Оценка'!F149)/6)
  )/5
) * 
(
  (
    ('PM (Расчеты)'!$C$22/8 + 'PM (Расчеты)'!$C$23/40) + 
    'PM (Расчеты)'!$C$21/100 + 'PM (Расчеты)'!$C$25/100 + 
    'PM (Расчеты)'!$C$26/100
  ) + 1
))*5)
</f>
        <v/>
      </c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3"/>
      <c r="AC149" s="133"/>
      <c r="AD149" s="133"/>
      <c r="AE149" s="133"/>
      <c r="AF149" s="133"/>
    </row>
    <row r="150">
      <c r="A150" s="196"/>
      <c r="B150" s="136"/>
      <c r="C150" s="133"/>
      <c r="D150" s="197"/>
      <c r="E150" s="133"/>
      <c r="F150" s="198"/>
      <c r="G150" s="198"/>
      <c r="H150" s="146" t="str">
        <f>IF(OR(ISBLANK('Оценка'!F150), ISBLANK('Оценка'!G150)), "", 
(AVERAGE(
  (
    ('Оценка'!F150 + 4*AVERAGE('Оценка'!F150:G150) + 'Оценка'!G150)/6 - 
    2*(('Оценка'!G150 - 'Оценка'!F150)/6)
  )/5 , 
  (
    ('Оценка'!F150 + 4*AVERAGE('Оценка'!F150:G150) + 'Оценка'!G150)/6 + 
    2*(('Оценка'!G150 - 'Оценка'!F150)/6)
  )/5
) * 
(
  (
    ('PM (Расчеты)'!$C$22/8 + 'PM (Расчеты)'!$C$23/40) + 
    'PM (Расчеты)'!$C$21/100 + 'PM (Расчеты)'!$C$25/100 + 
    'PM (Расчеты)'!$C$26/100
  ) + 1
))*5)
</f>
        <v/>
      </c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  <c r="AB150" s="133"/>
      <c r="AC150" s="133"/>
      <c r="AD150" s="133"/>
      <c r="AE150" s="133"/>
      <c r="AF150" s="133"/>
    </row>
    <row r="151">
      <c r="A151" s="196"/>
      <c r="B151" s="136"/>
      <c r="C151" s="133"/>
      <c r="D151" s="197"/>
      <c r="E151" s="133"/>
      <c r="F151" s="198"/>
      <c r="G151" s="198"/>
      <c r="H151" s="146" t="str">
        <f>IF(OR(ISBLANK('Оценка'!F151), ISBLANK('Оценка'!G151)), "", 
(AVERAGE(
  (
    ('Оценка'!F151 + 4*AVERAGE('Оценка'!F151:G151) + 'Оценка'!G151)/6 - 
    2*(('Оценка'!G151 - 'Оценка'!F151)/6)
  )/5 , 
  (
    ('Оценка'!F151 + 4*AVERAGE('Оценка'!F151:G151) + 'Оценка'!G151)/6 + 
    2*(('Оценка'!G151 - 'Оценка'!F151)/6)
  )/5
) * 
(
  (
    ('PM (Расчеты)'!$C$22/8 + 'PM (Расчеты)'!$C$23/40) + 
    'PM (Расчеты)'!$C$21/100 + 'PM (Расчеты)'!$C$25/100 + 
    'PM (Расчеты)'!$C$26/100
  ) + 1
))*5)
</f>
        <v/>
      </c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3"/>
      <c r="AC151" s="133"/>
      <c r="AD151" s="133"/>
      <c r="AE151" s="133"/>
      <c r="AF151" s="133"/>
    </row>
    <row r="152">
      <c r="A152" s="196"/>
      <c r="B152" s="136"/>
      <c r="C152" s="133"/>
      <c r="D152" s="197"/>
      <c r="E152" s="133"/>
      <c r="F152" s="198"/>
      <c r="G152" s="198"/>
      <c r="H152" s="146" t="str">
        <f>IF(OR(ISBLANK('Оценка'!F152), ISBLANK('Оценка'!G152)), "", 
(AVERAGE(
  (
    ('Оценка'!F152 + 4*AVERAGE('Оценка'!F152:G152) + 'Оценка'!G152)/6 - 
    2*(('Оценка'!G152 - 'Оценка'!F152)/6)
  )/5 , 
  (
    ('Оценка'!F152 + 4*AVERAGE('Оценка'!F152:G152) + 'Оценка'!G152)/6 + 
    2*(('Оценка'!G152 - 'Оценка'!F152)/6)
  )/5
) * 
(
  (
    ('PM (Расчеты)'!$C$22/8 + 'PM (Расчеты)'!$C$23/40) + 
    'PM (Расчеты)'!$C$21/100 + 'PM (Расчеты)'!$C$25/100 + 
    'PM (Расчеты)'!$C$26/100
  ) + 1
))*5)
</f>
        <v/>
      </c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  <c r="AB152" s="133"/>
      <c r="AC152" s="133"/>
      <c r="AD152" s="133"/>
      <c r="AE152" s="133"/>
      <c r="AF152" s="133"/>
    </row>
    <row r="153">
      <c r="A153" s="196"/>
      <c r="B153" s="136"/>
      <c r="C153" s="133"/>
      <c r="D153" s="197"/>
      <c r="E153" s="133"/>
      <c r="F153" s="198"/>
      <c r="G153" s="198"/>
      <c r="H153" s="146" t="str">
        <f>IF(OR(ISBLANK('Оценка'!F153), ISBLANK('Оценка'!G153)), "", 
(AVERAGE(
  (
    ('Оценка'!F153 + 4*AVERAGE('Оценка'!F153:G153) + 'Оценка'!G153)/6 - 
    2*(('Оценка'!G153 - 'Оценка'!F153)/6)
  )/5 , 
  (
    ('Оценка'!F153 + 4*AVERAGE('Оценка'!F153:G153) + 'Оценка'!G153)/6 + 
    2*(('Оценка'!G153 - 'Оценка'!F153)/6)
  )/5
) * 
(
  (
    ('PM (Расчеты)'!$C$22/8 + 'PM (Расчеты)'!$C$23/40) + 
    'PM (Расчеты)'!$C$21/100 + 'PM (Расчеты)'!$C$25/100 + 
    'PM (Расчеты)'!$C$26/100
  ) + 1
))*5)
</f>
        <v/>
      </c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  <c r="AC153" s="133"/>
      <c r="AD153" s="133"/>
      <c r="AE153" s="133"/>
      <c r="AF153" s="133"/>
    </row>
    <row r="154">
      <c r="A154" s="196"/>
      <c r="B154" s="136"/>
      <c r="C154" s="133"/>
      <c r="D154" s="197"/>
      <c r="E154" s="133"/>
      <c r="F154" s="198"/>
      <c r="G154" s="198"/>
      <c r="H154" s="146" t="str">
        <f>IF(OR(ISBLANK('Оценка'!F154), ISBLANK('Оценка'!G154)), "", 
(AVERAGE(
  (
    ('Оценка'!F154 + 4*AVERAGE('Оценка'!F154:G154) + 'Оценка'!G154)/6 - 
    2*(('Оценка'!G154 - 'Оценка'!F154)/6)
  )/5 , 
  (
    ('Оценка'!F154 + 4*AVERAGE('Оценка'!F154:G154) + 'Оценка'!G154)/6 + 
    2*(('Оценка'!G154 - 'Оценка'!F154)/6)
  )/5
) * 
(
  (
    ('PM (Расчеты)'!$C$22/8 + 'PM (Расчеты)'!$C$23/40) + 
    'PM (Расчеты)'!$C$21/100 + 'PM (Расчеты)'!$C$25/100 + 
    'PM (Расчеты)'!$C$26/100
  ) + 1
))*5)
</f>
        <v/>
      </c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3"/>
      <c r="AC154" s="133"/>
      <c r="AD154" s="133"/>
      <c r="AE154" s="133"/>
      <c r="AF154" s="133"/>
    </row>
    <row r="155">
      <c r="A155" s="196"/>
      <c r="B155" s="136"/>
      <c r="C155" s="133"/>
      <c r="D155" s="197"/>
      <c r="E155" s="133"/>
      <c r="F155" s="198"/>
      <c r="G155" s="198"/>
      <c r="H155" s="146" t="str">
        <f>IF(OR(ISBLANK('Оценка'!F155), ISBLANK('Оценка'!G155)), "", 
(AVERAGE(
  (
    ('Оценка'!F155 + 4*AVERAGE('Оценка'!F155:G155) + 'Оценка'!G155)/6 - 
    2*(('Оценка'!G155 - 'Оценка'!F155)/6)
  )/5 , 
  (
    ('Оценка'!F155 + 4*AVERAGE('Оценка'!F155:G155) + 'Оценка'!G155)/6 + 
    2*(('Оценка'!G155 - 'Оценка'!F155)/6)
  )/5
) * 
(
  (
    ('PM (Расчеты)'!$C$22/8 + 'PM (Расчеты)'!$C$23/40) + 
    'PM (Расчеты)'!$C$21/100 + 'PM (Расчеты)'!$C$25/100 + 
    'PM (Расчеты)'!$C$26/100
  ) + 1
))*5)
</f>
        <v/>
      </c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  <c r="AC155" s="133"/>
      <c r="AD155" s="133"/>
      <c r="AE155" s="133"/>
      <c r="AF155" s="133"/>
    </row>
    <row r="156">
      <c r="A156" s="196"/>
      <c r="B156" s="136"/>
      <c r="C156" s="133"/>
      <c r="D156" s="197"/>
      <c r="E156" s="133"/>
      <c r="F156" s="198"/>
      <c r="G156" s="198"/>
      <c r="H156" s="146" t="str">
        <f>IF(OR(ISBLANK('Оценка'!F156), ISBLANK('Оценка'!G156)), "", 
(AVERAGE(
  (
    ('Оценка'!F156 + 4*AVERAGE('Оценка'!F156:G156) + 'Оценка'!G156)/6 - 
    2*(('Оценка'!G156 - 'Оценка'!F156)/6)
  )/5 , 
  (
    ('Оценка'!F156 + 4*AVERAGE('Оценка'!F156:G156) + 'Оценка'!G156)/6 + 
    2*(('Оценка'!G156 - 'Оценка'!F156)/6)
  )/5
) * 
(
  (
    ('PM (Расчеты)'!$C$22/8 + 'PM (Расчеты)'!$C$23/40) + 
    'PM (Расчеты)'!$C$21/100 + 'PM (Расчеты)'!$C$25/100 + 
    'PM (Расчеты)'!$C$26/100
  ) + 1
))*5)
</f>
        <v/>
      </c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  <c r="AB156" s="133"/>
      <c r="AC156" s="133"/>
      <c r="AD156" s="133"/>
      <c r="AE156" s="133"/>
      <c r="AF156" s="133"/>
    </row>
    <row r="157">
      <c r="A157" s="196"/>
      <c r="B157" s="136"/>
      <c r="C157" s="133"/>
      <c r="D157" s="197"/>
      <c r="E157" s="133"/>
      <c r="F157" s="198"/>
      <c r="G157" s="198"/>
      <c r="H157" s="146" t="str">
        <f>IF(OR(ISBLANK('Оценка'!F157), ISBLANK('Оценка'!G157)), "", 
(AVERAGE(
  (
    ('Оценка'!F157 + 4*AVERAGE('Оценка'!F157:G157) + 'Оценка'!G157)/6 - 
    2*(('Оценка'!G157 - 'Оценка'!F157)/6)
  )/5 , 
  (
    ('Оценка'!F157 + 4*AVERAGE('Оценка'!F157:G157) + 'Оценка'!G157)/6 + 
    2*(('Оценка'!G157 - 'Оценка'!F157)/6)
  )/5
) * 
(
  (
    ('PM (Расчеты)'!$C$22/8 + 'PM (Расчеты)'!$C$23/40) + 
    'PM (Расчеты)'!$C$21/100 + 'PM (Расчеты)'!$C$25/100 + 
    'PM (Расчеты)'!$C$26/100
  ) + 1
))*5)
</f>
        <v/>
      </c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  <c r="AC157" s="133"/>
      <c r="AD157" s="133"/>
      <c r="AE157" s="133"/>
      <c r="AF157" s="133"/>
    </row>
    <row r="158">
      <c r="A158" s="196"/>
      <c r="B158" s="136"/>
      <c r="C158" s="133"/>
      <c r="D158" s="197"/>
      <c r="E158" s="133"/>
      <c r="F158" s="198"/>
      <c r="G158" s="198"/>
      <c r="H158" s="146" t="str">
        <f>IF(OR(ISBLANK('Оценка'!F158), ISBLANK('Оценка'!G158)), "", 
(AVERAGE(
  (
    ('Оценка'!F158 + 4*AVERAGE('Оценка'!F158:G158) + 'Оценка'!G158)/6 - 
    2*(('Оценка'!G158 - 'Оценка'!F158)/6)
  )/5 , 
  (
    ('Оценка'!F158 + 4*AVERAGE('Оценка'!F158:G158) + 'Оценка'!G158)/6 + 
    2*(('Оценка'!G158 - 'Оценка'!F158)/6)
  )/5
) * 
(
  (
    ('PM (Расчеты)'!$C$22/8 + 'PM (Расчеты)'!$C$23/40) + 
    'PM (Расчеты)'!$C$21/100 + 'PM (Расчеты)'!$C$25/100 + 
    'PM (Расчеты)'!$C$26/100
  ) + 1
))*5)
</f>
        <v/>
      </c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</row>
    <row r="159">
      <c r="A159" s="196"/>
      <c r="B159" s="136"/>
      <c r="C159" s="133"/>
      <c r="D159" s="197"/>
      <c r="E159" s="133"/>
      <c r="F159" s="198"/>
      <c r="G159" s="198"/>
      <c r="H159" s="146" t="str">
        <f>IF(OR(ISBLANK('Оценка'!F159), ISBLANK('Оценка'!G159)), "", 
(AVERAGE(
  (
    ('Оценка'!F159 + 4*AVERAGE('Оценка'!F159:G159) + 'Оценка'!G159)/6 - 
    2*(('Оценка'!G159 - 'Оценка'!F159)/6)
  )/5 , 
  (
    ('Оценка'!F159 + 4*AVERAGE('Оценка'!F159:G159) + 'Оценка'!G159)/6 + 
    2*(('Оценка'!G159 - 'Оценка'!F159)/6)
  )/5
) * 
(
  (
    ('PM (Расчеты)'!$C$22/8 + 'PM (Расчеты)'!$C$23/40) + 
    'PM (Расчеты)'!$C$21/100 + 'PM (Расчеты)'!$C$25/100 + 
    'PM (Расчеты)'!$C$26/100
  ) + 1
))*5)
</f>
        <v/>
      </c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  <c r="AB159" s="133"/>
      <c r="AC159" s="133"/>
      <c r="AD159" s="133"/>
      <c r="AE159" s="133"/>
      <c r="AF159" s="133"/>
    </row>
    <row r="160">
      <c r="A160" s="196"/>
      <c r="B160" s="136"/>
      <c r="C160" s="133"/>
      <c r="D160" s="197"/>
      <c r="E160" s="133"/>
      <c r="F160" s="198"/>
      <c r="G160" s="198"/>
      <c r="H160" s="146" t="str">
        <f>IF(OR(ISBLANK('Оценка'!F160), ISBLANK('Оценка'!G160)), "", 
(AVERAGE(
  (
    ('Оценка'!F160 + 4*AVERAGE('Оценка'!F160:G160) + 'Оценка'!G160)/6 - 
    2*(('Оценка'!G160 - 'Оценка'!F160)/6)
  )/5 , 
  (
    ('Оценка'!F160 + 4*AVERAGE('Оценка'!F160:G160) + 'Оценка'!G160)/6 + 
    2*(('Оценка'!G160 - 'Оценка'!F160)/6)
  )/5
) * 
(
  (
    ('PM (Расчеты)'!$C$22/8 + 'PM (Расчеты)'!$C$23/40) + 
    'PM (Расчеты)'!$C$21/100 + 'PM (Расчеты)'!$C$25/100 + 
    'PM (Расчеты)'!$C$26/100
  ) + 1
))*5)
</f>
        <v/>
      </c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  <c r="AC160" s="133"/>
      <c r="AD160" s="133"/>
      <c r="AE160" s="133"/>
      <c r="AF160" s="133"/>
    </row>
    <row r="161">
      <c r="A161" s="196"/>
      <c r="B161" s="136"/>
      <c r="C161" s="133"/>
      <c r="D161" s="197"/>
      <c r="E161" s="133"/>
      <c r="F161" s="198"/>
      <c r="G161" s="198"/>
      <c r="H161" s="146" t="str">
        <f>IF(OR(ISBLANK('Оценка'!F161), ISBLANK('Оценка'!G161)), "", 
(AVERAGE(
  (
    ('Оценка'!F161 + 4*AVERAGE('Оценка'!F161:G161) + 'Оценка'!G161)/6 - 
    2*(('Оценка'!G161 - 'Оценка'!F161)/6)
  )/5 , 
  (
    ('Оценка'!F161 + 4*AVERAGE('Оценка'!F161:G161) + 'Оценка'!G161)/6 + 
    2*(('Оценка'!G161 - 'Оценка'!F161)/6)
  )/5
) * 
(
  (
    ('PM (Расчеты)'!$C$22/8 + 'PM (Расчеты)'!$C$23/40) + 
    'PM (Расчеты)'!$C$21/100 + 'PM (Расчеты)'!$C$25/100 + 
    'PM (Расчеты)'!$C$26/100
  ) + 1
))*5)
</f>
        <v/>
      </c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3"/>
      <c r="AC161" s="133"/>
      <c r="AD161" s="133"/>
      <c r="AE161" s="133"/>
      <c r="AF161" s="133"/>
    </row>
    <row r="162">
      <c r="A162" s="196"/>
      <c r="B162" s="136"/>
      <c r="C162" s="133"/>
      <c r="D162" s="197"/>
      <c r="E162" s="133"/>
      <c r="F162" s="198"/>
      <c r="G162" s="198"/>
      <c r="H162" s="146" t="str">
        <f>IF(OR(ISBLANK('Оценка'!F162), ISBLANK('Оценка'!G162)), "", 
(AVERAGE(
  (
    ('Оценка'!F162 + 4*AVERAGE('Оценка'!F162:G162) + 'Оценка'!G162)/6 - 
    2*(('Оценка'!G162 - 'Оценка'!F162)/6)
  )/5 , 
  (
    ('Оценка'!F162 + 4*AVERAGE('Оценка'!F162:G162) + 'Оценка'!G162)/6 + 
    2*(('Оценка'!G162 - 'Оценка'!F162)/6)
  )/5
) * 
(
  (
    ('PM (Расчеты)'!$C$22/8 + 'PM (Расчеты)'!$C$23/40) + 
    'PM (Расчеты)'!$C$21/100 + 'PM (Расчеты)'!$C$25/100 + 
    'PM (Расчеты)'!$C$26/100
  ) + 1
))*5)
</f>
        <v/>
      </c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  <c r="AB162" s="133"/>
      <c r="AC162" s="133"/>
      <c r="AD162" s="133"/>
      <c r="AE162" s="133"/>
      <c r="AF162" s="133"/>
    </row>
    <row r="163">
      <c r="A163" s="196"/>
      <c r="B163" s="136"/>
      <c r="C163" s="133"/>
      <c r="D163" s="197"/>
      <c r="E163" s="133"/>
      <c r="F163" s="198"/>
      <c r="G163" s="198"/>
      <c r="H163" s="146" t="str">
        <f>IF(OR(ISBLANK('Оценка'!F163), ISBLANK('Оценка'!G163)), "", 
(AVERAGE(
  (
    ('Оценка'!F163 + 4*AVERAGE('Оценка'!F163:G163) + 'Оценка'!G163)/6 - 
    2*(('Оценка'!G163 - 'Оценка'!F163)/6)
  )/5 , 
  (
    ('Оценка'!F163 + 4*AVERAGE('Оценка'!F163:G163) + 'Оценка'!G163)/6 + 
    2*(('Оценка'!G163 - 'Оценка'!F163)/6)
  )/5
) * 
(
  (
    ('PM (Расчеты)'!$C$22/8 + 'PM (Расчеты)'!$C$23/40) + 
    'PM (Расчеты)'!$C$21/100 + 'PM (Расчеты)'!$C$25/100 + 
    'PM (Расчеты)'!$C$26/100
  ) + 1
))*5)
</f>
        <v/>
      </c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  <c r="AC163" s="133"/>
      <c r="AD163" s="133"/>
      <c r="AE163" s="133"/>
      <c r="AF163" s="133"/>
    </row>
    <row r="164">
      <c r="A164" s="196"/>
      <c r="B164" s="136"/>
      <c r="C164" s="133"/>
      <c r="D164" s="197"/>
      <c r="E164" s="133"/>
      <c r="F164" s="198"/>
      <c r="G164" s="198"/>
      <c r="H164" s="146" t="str">
        <f>IF(OR(ISBLANK('Оценка'!F164), ISBLANK('Оценка'!G164)), "", 
(AVERAGE(
  (
    ('Оценка'!F164 + 4*AVERAGE('Оценка'!F164:G164) + 'Оценка'!G164)/6 - 
    2*(('Оценка'!G164 - 'Оценка'!F164)/6)
  )/5 , 
  (
    ('Оценка'!F164 + 4*AVERAGE('Оценка'!F164:G164) + 'Оценка'!G164)/6 + 
    2*(('Оценка'!G164 - 'Оценка'!F164)/6)
  )/5
) * 
(
  (
    ('PM (Расчеты)'!$C$22/8 + 'PM (Расчеты)'!$C$23/40) + 
    'PM (Расчеты)'!$C$21/100 + 'PM (Расчеты)'!$C$25/100 + 
    'PM (Расчеты)'!$C$26/100
  ) + 1
))*5)
</f>
        <v/>
      </c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  <c r="AB164" s="133"/>
      <c r="AC164" s="133"/>
      <c r="AD164" s="133"/>
      <c r="AE164" s="133"/>
      <c r="AF164" s="133"/>
    </row>
    <row r="165">
      <c r="A165" s="196"/>
      <c r="B165" s="136"/>
      <c r="C165" s="133"/>
      <c r="D165" s="197"/>
      <c r="E165" s="133"/>
      <c r="F165" s="198"/>
      <c r="G165" s="198"/>
      <c r="H165" s="146" t="str">
        <f>IF(OR(ISBLANK('Оценка'!F165), ISBLANK('Оценка'!G165)), "", 
(AVERAGE(
  (
    ('Оценка'!F165 + 4*AVERAGE('Оценка'!F165:G165) + 'Оценка'!G165)/6 - 
    2*(('Оценка'!G165 - 'Оценка'!F165)/6)
  )/5 , 
  (
    ('Оценка'!F165 + 4*AVERAGE('Оценка'!F165:G165) + 'Оценка'!G165)/6 + 
    2*(('Оценка'!G165 - 'Оценка'!F165)/6)
  )/5
) * 
(
  (
    ('PM (Расчеты)'!$C$22/8 + 'PM (Расчеты)'!$C$23/40) + 
    'PM (Расчеты)'!$C$21/100 + 'PM (Расчеты)'!$C$25/100 + 
    'PM (Расчеты)'!$C$26/100
  ) + 1
))*5)
</f>
        <v/>
      </c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  <c r="AB165" s="133"/>
      <c r="AC165" s="133"/>
      <c r="AD165" s="133"/>
      <c r="AE165" s="133"/>
      <c r="AF165" s="133"/>
    </row>
    <row r="166">
      <c r="A166" s="196"/>
      <c r="B166" s="136"/>
      <c r="C166" s="133"/>
      <c r="D166" s="197"/>
      <c r="E166" s="133"/>
      <c r="F166" s="198"/>
      <c r="G166" s="198"/>
      <c r="H166" s="146" t="str">
        <f>IF(OR(ISBLANK('Оценка'!F166), ISBLANK('Оценка'!G166)), "", 
(AVERAGE(
  (
    ('Оценка'!F166 + 4*AVERAGE('Оценка'!F166:G166) + 'Оценка'!G166)/6 - 
    2*(('Оценка'!G166 - 'Оценка'!F166)/6)
  )/5 , 
  (
    ('Оценка'!F166 + 4*AVERAGE('Оценка'!F166:G166) + 'Оценка'!G166)/6 + 
    2*(('Оценка'!G166 - 'Оценка'!F166)/6)
  )/5
) * 
(
  (
    ('PM (Расчеты)'!$C$22/8 + 'PM (Расчеты)'!$C$23/40) + 
    'PM (Расчеты)'!$C$21/100 + 'PM (Расчеты)'!$C$25/100 + 
    'PM (Расчеты)'!$C$26/100
  ) + 1
))*5)
</f>
        <v/>
      </c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  <c r="AB166" s="133"/>
      <c r="AC166" s="133"/>
      <c r="AD166" s="133"/>
      <c r="AE166" s="133"/>
      <c r="AF166" s="133"/>
    </row>
    <row r="167">
      <c r="A167" s="196"/>
      <c r="B167" s="136"/>
      <c r="C167" s="133"/>
      <c r="D167" s="197"/>
      <c r="E167" s="133"/>
      <c r="F167" s="198"/>
      <c r="G167" s="198"/>
      <c r="H167" s="146" t="str">
        <f>IF(OR(ISBLANK('Оценка'!F167), ISBLANK('Оценка'!G167)), "", 
(AVERAGE(
  (
    ('Оценка'!F167 + 4*AVERAGE('Оценка'!F167:G167) + 'Оценка'!G167)/6 - 
    2*(('Оценка'!G167 - 'Оценка'!F167)/6)
  )/5 , 
  (
    ('Оценка'!F167 + 4*AVERAGE('Оценка'!F167:G167) + 'Оценка'!G167)/6 + 
    2*(('Оценка'!G167 - 'Оценка'!F167)/6)
  )/5
) * 
(
  (
    ('PM (Расчеты)'!$C$22/8 + 'PM (Расчеты)'!$C$23/40) + 
    'PM (Расчеты)'!$C$21/100 + 'PM (Расчеты)'!$C$25/100 + 
    'PM (Расчеты)'!$C$26/100
  ) + 1
))*5)
</f>
        <v/>
      </c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  <c r="AC167" s="133"/>
      <c r="AD167" s="133"/>
      <c r="AE167" s="133"/>
      <c r="AF167" s="133"/>
    </row>
    <row r="168">
      <c r="A168" s="196"/>
      <c r="B168" s="136"/>
      <c r="C168" s="133"/>
      <c r="D168" s="197"/>
      <c r="E168" s="133"/>
      <c r="F168" s="198"/>
      <c r="G168" s="198"/>
      <c r="H168" s="146" t="str">
        <f>IF(OR(ISBLANK('Оценка'!F168), ISBLANK('Оценка'!G168)), "", 
(AVERAGE(
  (
    ('Оценка'!F168 + 4*AVERAGE('Оценка'!F168:G168) + 'Оценка'!G168)/6 - 
    2*(('Оценка'!G168 - 'Оценка'!F168)/6)
  )/5 , 
  (
    ('Оценка'!F168 + 4*AVERAGE('Оценка'!F168:G168) + 'Оценка'!G168)/6 + 
    2*(('Оценка'!G168 - 'Оценка'!F168)/6)
  )/5
) * 
(
  (
    ('PM (Расчеты)'!$C$22/8 + 'PM (Расчеты)'!$C$23/40) + 
    'PM (Расчеты)'!$C$21/100 + 'PM (Расчеты)'!$C$25/100 + 
    'PM (Расчеты)'!$C$26/100
  ) + 1
))*5)
</f>
        <v/>
      </c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  <c r="AB168" s="133"/>
      <c r="AC168" s="133"/>
      <c r="AD168" s="133"/>
      <c r="AE168" s="133"/>
      <c r="AF168" s="133"/>
    </row>
    <row r="169">
      <c r="A169" s="196"/>
      <c r="B169" s="136"/>
      <c r="C169" s="133"/>
      <c r="D169" s="197"/>
      <c r="E169" s="133"/>
      <c r="F169" s="198"/>
      <c r="G169" s="198"/>
      <c r="H169" s="146" t="str">
        <f>IF(OR(ISBLANK('Оценка'!F169), ISBLANK('Оценка'!G169)), "", 
(AVERAGE(
  (
    ('Оценка'!F169 + 4*AVERAGE('Оценка'!F169:G169) + 'Оценка'!G169)/6 - 
    2*(('Оценка'!G169 - 'Оценка'!F169)/6)
  )/5 , 
  (
    ('Оценка'!F169 + 4*AVERAGE('Оценка'!F169:G169) + 'Оценка'!G169)/6 + 
    2*(('Оценка'!G169 - 'Оценка'!F169)/6)
  )/5
) * 
(
  (
    ('PM (Расчеты)'!$C$22/8 + 'PM (Расчеты)'!$C$23/40) + 
    'PM (Расчеты)'!$C$21/100 + 'PM (Расчеты)'!$C$25/100 + 
    'PM (Расчеты)'!$C$26/100
  ) + 1
))*5)
</f>
        <v/>
      </c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  <c r="AC169" s="133"/>
      <c r="AD169" s="133"/>
      <c r="AE169" s="133"/>
      <c r="AF169" s="133"/>
    </row>
    <row r="170">
      <c r="A170" s="196"/>
      <c r="B170" s="136"/>
      <c r="C170" s="133"/>
      <c r="D170" s="197"/>
      <c r="E170" s="133"/>
      <c r="F170" s="198"/>
      <c r="G170" s="198"/>
      <c r="H170" s="146" t="str">
        <f>IF(OR(ISBLANK('Оценка'!F170), ISBLANK('Оценка'!G170)), "", 
(AVERAGE(
  (
    ('Оценка'!F170 + 4*AVERAGE('Оценка'!F170:G170) + 'Оценка'!G170)/6 - 
    2*(('Оценка'!G170 - 'Оценка'!F170)/6)
  )/5 , 
  (
    ('Оценка'!F170 + 4*AVERAGE('Оценка'!F170:G170) + 'Оценка'!G170)/6 + 
    2*(('Оценка'!G170 - 'Оценка'!F170)/6)
  )/5
) * 
(
  (
    ('PM (Расчеты)'!$C$22/8 + 'PM (Расчеты)'!$C$23/40) + 
    'PM (Расчеты)'!$C$21/100 + 'PM (Расчеты)'!$C$25/100 + 
    'PM (Расчеты)'!$C$26/100
  ) + 1
))*5)
</f>
        <v/>
      </c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3"/>
      <c r="AC170" s="133"/>
      <c r="AD170" s="133"/>
      <c r="AE170" s="133"/>
      <c r="AF170" s="133"/>
    </row>
    <row r="171">
      <c r="A171" s="196"/>
      <c r="B171" s="136"/>
      <c r="C171" s="133"/>
      <c r="D171" s="197"/>
      <c r="E171" s="133"/>
      <c r="F171" s="198"/>
      <c r="G171" s="198"/>
      <c r="H171" s="146" t="str">
        <f>IF(OR(ISBLANK('Оценка'!F171), ISBLANK('Оценка'!G171)), "", 
(AVERAGE(
  (
    ('Оценка'!F171 + 4*AVERAGE('Оценка'!F171:G171) + 'Оценка'!G171)/6 - 
    2*(('Оценка'!G171 - 'Оценка'!F171)/6)
  )/5 , 
  (
    ('Оценка'!F171 + 4*AVERAGE('Оценка'!F171:G171) + 'Оценка'!G171)/6 + 
    2*(('Оценка'!G171 - 'Оценка'!F171)/6)
  )/5
) * 
(
  (
    ('PM (Расчеты)'!$C$22/8 + 'PM (Расчеты)'!$C$23/40) + 
    'PM (Расчеты)'!$C$21/100 + 'PM (Расчеты)'!$C$25/100 + 
    'PM (Расчеты)'!$C$26/100
  ) + 1
))*5)
</f>
        <v/>
      </c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  <c r="AB171" s="133"/>
      <c r="AC171" s="133"/>
      <c r="AD171" s="133"/>
      <c r="AE171" s="133"/>
      <c r="AF171" s="133"/>
    </row>
    <row r="172">
      <c r="A172" s="196"/>
      <c r="B172" s="133"/>
      <c r="C172" s="133"/>
      <c r="D172" s="197"/>
      <c r="E172" s="133"/>
      <c r="F172" s="198"/>
      <c r="G172" s="198"/>
      <c r="H172" s="146" t="str">
        <f>IF(OR(ISBLANK('Оценка'!F172), ISBLANK('Оценка'!G172)), "", 
(AVERAGE(
  (
    ('Оценка'!F172 + 4*AVERAGE('Оценка'!F172:G172) + 'Оценка'!G172)/6 - 
    2*(('Оценка'!G172 - 'Оценка'!F172)/6)
  )/5 , 
  (
    ('Оценка'!F172 + 4*AVERAGE('Оценка'!F172:G172) + 'Оценка'!G172)/6 + 
    2*(('Оценка'!G172 - 'Оценка'!F172)/6)
  )/5
) * 
(
  (
    ('PM (Расчеты)'!$C$22/8 + 'PM (Расчеты)'!$C$23/40) + 
    'PM (Расчеты)'!$C$21/100 + 'PM (Расчеты)'!$C$25/100 + 
    'PM (Расчеты)'!$C$26/100
  ) + 1
))*5)
</f>
        <v/>
      </c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  <c r="AC172" s="133"/>
      <c r="AD172" s="133"/>
      <c r="AE172" s="133"/>
      <c r="AF172" s="133"/>
    </row>
    <row r="173">
      <c r="A173" s="196"/>
      <c r="B173" s="133"/>
      <c r="C173" s="133"/>
      <c r="D173" s="197"/>
      <c r="E173" s="133"/>
      <c r="F173" s="198"/>
      <c r="G173" s="198"/>
      <c r="H173" s="146" t="str">
        <f>IF(OR(ISBLANK('Оценка'!F173), ISBLANK('Оценка'!G173)), "", 
(AVERAGE(
  (
    ('Оценка'!F173 + 4*AVERAGE('Оценка'!F173:G173) + 'Оценка'!G173)/6 - 
    2*(('Оценка'!G173 - 'Оценка'!F173)/6)
  )/5 , 
  (
    ('Оценка'!F173 + 4*AVERAGE('Оценка'!F173:G173) + 'Оценка'!G173)/6 + 
    2*(('Оценка'!G173 - 'Оценка'!F173)/6)
  )/5
) * 
(
  (
    ('PM (Расчеты)'!$C$22/8 + 'PM (Расчеты)'!$C$23/40) + 
    'PM (Расчеты)'!$C$21/100 + 'PM (Расчеты)'!$C$25/100 + 
    'PM (Расчеты)'!$C$26/100
  ) + 1
))*5)
</f>
        <v/>
      </c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  <c r="AB173" s="133"/>
      <c r="AC173" s="133"/>
      <c r="AD173" s="133"/>
      <c r="AE173" s="133"/>
      <c r="AF173" s="133"/>
    </row>
    <row r="174">
      <c r="A174" s="196"/>
      <c r="B174" s="133"/>
      <c r="C174" s="133"/>
      <c r="D174" s="197"/>
      <c r="E174" s="133"/>
      <c r="F174" s="198"/>
      <c r="G174" s="198"/>
      <c r="H174" s="146" t="str">
        <f>IF(OR(ISBLANK('Оценка'!F174), ISBLANK('Оценка'!G174)), "", 
(AVERAGE(
  (
    ('Оценка'!F174 + 4*AVERAGE('Оценка'!F174:G174) + 'Оценка'!G174)/6 - 
    2*(('Оценка'!G174 - 'Оценка'!F174)/6)
  )/5 , 
  (
    ('Оценка'!F174 + 4*AVERAGE('Оценка'!F174:G174) + 'Оценка'!G174)/6 + 
    2*(('Оценка'!G174 - 'Оценка'!F174)/6)
  )/5
) * 
(
  (
    ('PM (Расчеты)'!$C$22/8 + 'PM (Расчеты)'!$C$23/40) + 
    'PM (Расчеты)'!$C$21/100 + 'PM (Расчеты)'!$C$25/100 + 
    'PM (Расчеты)'!$C$26/100
  ) + 1
))*5)
</f>
        <v/>
      </c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  <c r="AB174" s="133"/>
      <c r="AC174" s="133"/>
      <c r="AD174" s="133"/>
      <c r="AE174" s="133"/>
      <c r="AF174" s="133"/>
    </row>
    <row r="175">
      <c r="A175" s="196"/>
      <c r="B175" s="133"/>
      <c r="C175" s="133"/>
      <c r="D175" s="197"/>
      <c r="E175" s="133"/>
      <c r="F175" s="198"/>
      <c r="G175" s="198"/>
      <c r="H175" s="146" t="str">
        <f>IF(OR(ISBLANK('Оценка'!F175), ISBLANK('Оценка'!G175)), "", 
(AVERAGE(
  (
    ('Оценка'!F175 + 4*AVERAGE('Оценка'!F175:G175) + 'Оценка'!G175)/6 - 
    2*(('Оценка'!G175 - 'Оценка'!F175)/6)
  )/5 , 
  (
    ('Оценка'!F175 + 4*AVERAGE('Оценка'!F175:G175) + 'Оценка'!G175)/6 + 
    2*(('Оценка'!G175 - 'Оценка'!F175)/6)
  )/5
) * 
(
  (
    ('PM (Расчеты)'!$C$22/8 + 'PM (Расчеты)'!$C$23/40) + 
    'PM (Расчеты)'!$C$21/100 + 'PM (Расчеты)'!$C$25/100 + 
    'PM (Расчеты)'!$C$26/100
  ) + 1
))*5)
</f>
        <v/>
      </c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  <c r="AB175" s="133"/>
      <c r="AC175" s="133"/>
      <c r="AD175" s="133"/>
      <c r="AE175" s="133"/>
      <c r="AF175" s="133"/>
    </row>
    <row r="176">
      <c r="A176" s="196"/>
      <c r="B176" s="133"/>
      <c r="C176" s="133"/>
      <c r="D176" s="197"/>
      <c r="E176" s="133"/>
      <c r="F176" s="198"/>
      <c r="G176" s="198"/>
      <c r="H176" s="146" t="str">
        <f>IF(OR(ISBLANK('Оценка'!F176), ISBLANK('Оценка'!G176)), "", 
(AVERAGE(
  (
    ('Оценка'!F176 + 4*AVERAGE('Оценка'!F176:G176) + 'Оценка'!G176)/6 - 
    2*(('Оценка'!G176 - 'Оценка'!F176)/6)
  )/5 , 
  (
    ('Оценка'!F176 + 4*AVERAGE('Оценка'!F176:G176) + 'Оценка'!G176)/6 + 
    2*(('Оценка'!G176 - 'Оценка'!F176)/6)
  )/5
) * 
(
  (
    ('PM (Расчеты)'!$C$22/8 + 'PM (Расчеты)'!$C$23/40) + 
    'PM (Расчеты)'!$C$21/100 + 'PM (Расчеты)'!$C$25/100 + 
    'PM (Расчеты)'!$C$26/100
  ) + 1
))*5)
</f>
        <v/>
      </c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3"/>
      <c r="AC176" s="133"/>
      <c r="AD176" s="133"/>
      <c r="AE176" s="133"/>
      <c r="AF176" s="133"/>
    </row>
    <row r="177">
      <c r="A177" s="196"/>
      <c r="B177" s="133"/>
      <c r="C177" s="133"/>
      <c r="D177" s="197"/>
      <c r="E177" s="133"/>
      <c r="F177" s="198"/>
      <c r="G177" s="198"/>
      <c r="H177" s="146" t="str">
        <f>IF(OR(ISBLANK('Оценка'!F177), ISBLANK('Оценка'!G177)), "", 
(AVERAGE(
  (
    ('Оценка'!F177 + 4*AVERAGE('Оценка'!F177:G177) + 'Оценка'!G177)/6 - 
    2*(('Оценка'!G177 - 'Оценка'!F177)/6)
  )/5 , 
  (
    ('Оценка'!F177 + 4*AVERAGE('Оценка'!F177:G177) + 'Оценка'!G177)/6 + 
    2*(('Оценка'!G177 - 'Оценка'!F177)/6)
  )/5
) * 
(
  (
    ('PM (Расчеты)'!$C$22/8 + 'PM (Расчеты)'!$C$23/40) + 
    'PM (Расчеты)'!$C$21/100 + 'PM (Расчеты)'!$C$25/100 + 
    'PM (Расчеты)'!$C$26/100
  ) + 1
))*5)
</f>
        <v/>
      </c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3"/>
      <c r="AC177" s="133"/>
      <c r="AD177" s="133"/>
      <c r="AE177" s="133"/>
      <c r="AF177" s="133"/>
    </row>
    <row r="178">
      <c r="A178" s="196"/>
      <c r="B178" s="133"/>
      <c r="C178" s="133"/>
      <c r="D178" s="197"/>
      <c r="E178" s="133"/>
      <c r="F178" s="198"/>
      <c r="G178" s="198"/>
      <c r="H178" s="146" t="str">
        <f>IF(OR(ISBLANK('Оценка'!F178), ISBLANK('Оценка'!G178)), "", 
(AVERAGE(
  (
    ('Оценка'!F178 + 4*AVERAGE('Оценка'!F178:G178) + 'Оценка'!G178)/6 - 
    2*(('Оценка'!G178 - 'Оценка'!F178)/6)
  )/5 , 
  (
    ('Оценка'!F178 + 4*AVERAGE('Оценка'!F178:G178) + 'Оценка'!G178)/6 + 
    2*(('Оценка'!G178 - 'Оценка'!F178)/6)
  )/5
) * 
(
  (
    ('PM (Расчеты)'!$C$22/8 + 'PM (Расчеты)'!$C$23/40) + 
    'PM (Расчеты)'!$C$21/100 + 'PM (Расчеты)'!$C$25/100 + 
    'PM (Расчеты)'!$C$26/100
  ) + 1
))*5)
</f>
        <v/>
      </c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  <c r="AB178" s="133"/>
      <c r="AC178" s="133"/>
      <c r="AD178" s="133"/>
      <c r="AE178" s="133"/>
      <c r="AF178" s="133"/>
    </row>
    <row r="179">
      <c r="A179" s="196"/>
      <c r="B179" s="133"/>
      <c r="C179" s="133"/>
      <c r="D179" s="197"/>
      <c r="E179" s="133"/>
      <c r="F179" s="198"/>
      <c r="G179" s="198"/>
      <c r="H179" s="146" t="str">
        <f>IF(OR(ISBLANK('Оценка'!F179), ISBLANK('Оценка'!G179)), "", 
(AVERAGE(
  (
    ('Оценка'!F179 + 4*AVERAGE('Оценка'!F179:G179) + 'Оценка'!G179)/6 - 
    2*(('Оценка'!G179 - 'Оценка'!F179)/6)
  )/5 , 
  (
    ('Оценка'!F179 + 4*AVERAGE('Оценка'!F179:G179) + 'Оценка'!G179)/6 + 
    2*(('Оценка'!G179 - 'Оценка'!F179)/6)
  )/5
) * 
(
  (
    ('PM (Расчеты)'!$C$22/8 + 'PM (Расчеты)'!$C$23/40) + 
    'PM (Расчеты)'!$C$21/100 + 'PM (Расчеты)'!$C$25/100 + 
    'PM (Расчеты)'!$C$26/100
  ) + 1
))*5)
</f>
        <v/>
      </c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  <c r="AC179" s="133"/>
      <c r="AD179" s="133"/>
      <c r="AE179" s="133"/>
      <c r="AF179" s="133"/>
    </row>
    <row r="180">
      <c r="A180" s="196"/>
      <c r="B180" s="133"/>
      <c r="C180" s="133"/>
      <c r="D180" s="197"/>
      <c r="E180" s="133"/>
      <c r="F180" s="198"/>
      <c r="G180" s="198"/>
      <c r="H180" s="146" t="str">
        <f>IF(OR(ISBLANK('Оценка'!F180), ISBLANK('Оценка'!G180)), "", 
(AVERAGE(
  (
    ('Оценка'!F180 + 4*AVERAGE('Оценка'!F180:G180) + 'Оценка'!G180)/6 - 
    2*(('Оценка'!G180 - 'Оценка'!F180)/6)
  )/5 , 
  (
    ('Оценка'!F180 + 4*AVERAGE('Оценка'!F180:G180) + 'Оценка'!G180)/6 + 
    2*(('Оценка'!G180 - 'Оценка'!F180)/6)
  )/5
) * 
(
  (
    ('PM (Расчеты)'!$C$22/8 + 'PM (Расчеты)'!$C$23/40) + 
    'PM (Расчеты)'!$C$21/100 + 'PM (Расчеты)'!$C$25/100 + 
    'PM (Расчеты)'!$C$26/100
  ) + 1
))*5)
</f>
        <v/>
      </c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3"/>
      <c r="AC180" s="133"/>
      <c r="AD180" s="133"/>
      <c r="AE180" s="133"/>
      <c r="AF180" s="133"/>
    </row>
    <row r="181">
      <c r="A181" s="196"/>
      <c r="B181" s="133"/>
      <c r="C181" s="133"/>
      <c r="D181" s="197"/>
      <c r="E181" s="133"/>
      <c r="F181" s="198"/>
      <c r="G181" s="198"/>
      <c r="H181" s="146" t="str">
        <f>IF(OR(ISBLANK('Оценка'!F181), ISBLANK('Оценка'!G181)), "", 
(AVERAGE(
  (
    ('Оценка'!F181 + 4*AVERAGE('Оценка'!F181:G181) + 'Оценка'!G181)/6 - 
    2*(('Оценка'!G181 - 'Оценка'!F181)/6)
  )/5 , 
  (
    ('Оценка'!F181 + 4*AVERAGE('Оценка'!F181:G181) + 'Оценка'!G181)/6 + 
    2*(('Оценка'!G181 - 'Оценка'!F181)/6)
  )/5
) * 
(
  (
    ('PM (Расчеты)'!$C$22/8 + 'PM (Расчеты)'!$C$23/40) + 
    'PM (Расчеты)'!$C$21/100 + 'PM (Расчеты)'!$C$25/100 + 
    'PM (Расчеты)'!$C$26/100
  ) + 1
))*5)
</f>
        <v/>
      </c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  <c r="AC181" s="133"/>
      <c r="AD181" s="133"/>
      <c r="AE181" s="133"/>
      <c r="AF181" s="133"/>
    </row>
    <row r="182">
      <c r="A182" s="196"/>
      <c r="B182" s="133"/>
      <c r="C182" s="133"/>
      <c r="D182" s="197"/>
      <c r="E182" s="133"/>
      <c r="F182" s="198"/>
      <c r="G182" s="198"/>
      <c r="H182" s="146" t="str">
        <f>IF(OR(ISBLANK('Оценка'!F182), ISBLANK('Оценка'!G182)), "", 
(AVERAGE(
  (
    ('Оценка'!F182 + 4*AVERAGE('Оценка'!F182:G182) + 'Оценка'!G182)/6 - 
    2*(('Оценка'!G182 - 'Оценка'!F182)/6)
  )/5 , 
  (
    ('Оценка'!F182 + 4*AVERAGE('Оценка'!F182:G182) + 'Оценка'!G182)/6 + 
    2*(('Оценка'!G182 - 'Оценка'!F182)/6)
  )/5
) * 
(
  (
    ('PM (Расчеты)'!$C$22/8 + 'PM (Расчеты)'!$C$23/40) + 
    'PM (Расчеты)'!$C$21/100 + 'PM (Расчеты)'!$C$25/100 + 
    'PM (Расчеты)'!$C$26/100
  ) + 1
))*5)
</f>
        <v/>
      </c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  <c r="AC182" s="133"/>
      <c r="AD182" s="133"/>
      <c r="AE182" s="133"/>
      <c r="AF182" s="133"/>
    </row>
    <row r="183">
      <c r="A183" s="196"/>
      <c r="B183" s="133"/>
      <c r="C183" s="133"/>
      <c r="D183" s="197"/>
      <c r="E183" s="133"/>
      <c r="F183" s="198"/>
      <c r="G183" s="198"/>
      <c r="H183" s="146" t="str">
        <f>IF(OR(ISBLANK('Оценка'!F183), ISBLANK('Оценка'!G183)), "", 
(AVERAGE(
  (
    ('Оценка'!F183 + 4*AVERAGE('Оценка'!F183:G183) + 'Оценка'!G183)/6 - 
    2*(('Оценка'!G183 - 'Оценка'!F183)/6)
  )/5 , 
  (
    ('Оценка'!F183 + 4*AVERAGE('Оценка'!F183:G183) + 'Оценка'!G183)/6 + 
    2*(('Оценка'!G183 - 'Оценка'!F183)/6)
  )/5
) * 
(
  (
    ('PM (Расчеты)'!$C$22/8 + 'PM (Расчеты)'!$C$23/40) + 
    'PM (Расчеты)'!$C$21/100 + 'PM (Расчеты)'!$C$25/100 + 
    'PM (Расчеты)'!$C$26/100
  ) + 1
))*5)
</f>
        <v/>
      </c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3"/>
      <c r="AC183" s="133"/>
      <c r="AD183" s="133"/>
      <c r="AE183" s="133"/>
      <c r="AF183" s="133"/>
    </row>
    <row r="184">
      <c r="A184" s="196"/>
      <c r="B184" s="133"/>
      <c r="C184" s="133"/>
      <c r="D184" s="197"/>
      <c r="E184" s="133"/>
      <c r="F184" s="198"/>
      <c r="G184" s="198"/>
      <c r="H184" s="146" t="str">
        <f>IF(OR(ISBLANK('Оценка'!F184), ISBLANK('Оценка'!G184)), "", 
(AVERAGE(
  (
    ('Оценка'!F184 + 4*AVERAGE('Оценка'!F184:G184) + 'Оценка'!G184)/6 - 
    2*(('Оценка'!G184 - 'Оценка'!F184)/6)
  )/5 , 
  (
    ('Оценка'!F184 + 4*AVERAGE('Оценка'!F184:G184) + 'Оценка'!G184)/6 + 
    2*(('Оценка'!G184 - 'Оценка'!F184)/6)
  )/5
) * 
(
  (
    ('PM (Расчеты)'!$C$22/8 + 'PM (Расчеты)'!$C$23/40) + 
    'PM (Расчеты)'!$C$21/100 + 'PM (Расчеты)'!$C$25/100 + 
    'PM (Расчеты)'!$C$26/100
  ) + 1
))*5)
</f>
        <v/>
      </c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  <c r="AB184" s="133"/>
      <c r="AC184" s="133"/>
      <c r="AD184" s="133"/>
      <c r="AE184" s="133"/>
      <c r="AF184" s="133"/>
    </row>
    <row r="185">
      <c r="A185" s="196"/>
      <c r="B185" s="133"/>
      <c r="C185" s="133"/>
      <c r="D185" s="197"/>
      <c r="E185" s="133"/>
      <c r="F185" s="198"/>
      <c r="G185" s="198"/>
      <c r="H185" s="146" t="str">
        <f>IF(OR(ISBLANK('Оценка'!F185), ISBLANK('Оценка'!G185)), "", 
(AVERAGE(
  (
    ('Оценка'!F185 + 4*AVERAGE('Оценка'!F185:G185) + 'Оценка'!G185)/6 - 
    2*(('Оценка'!G185 - 'Оценка'!F185)/6)
  )/5 , 
  (
    ('Оценка'!F185 + 4*AVERAGE('Оценка'!F185:G185) + 'Оценка'!G185)/6 + 
    2*(('Оценка'!G185 - 'Оценка'!F185)/6)
  )/5
) * 
(
  (
    ('PM (Расчеты)'!$C$22/8 + 'PM (Расчеты)'!$C$23/40) + 
    'PM (Расчеты)'!$C$21/100 + 'PM (Расчеты)'!$C$25/100 + 
    'PM (Расчеты)'!$C$26/100
  ) + 1
))*5)
</f>
        <v/>
      </c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  <c r="AB185" s="133"/>
      <c r="AC185" s="133"/>
      <c r="AD185" s="133"/>
      <c r="AE185" s="133"/>
      <c r="AF185" s="133"/>
    </row>
    <row r="186">
      <c r="A186" s="196"/>
      <c r="B186" s="133"/>
      <c r="C186" s="133"/>
      <c r="D186" s="197"/>
      <c r="E186" s="133"/>
      <c r="F186" s="198"/>
      <c r="G186" s="198"/>
      <c r="H186" s="146" t="str">
        <f>IF(OR(ISBLANK('Оценка'!F186), ISBLANK('Оценка'!G186)), "", 
(AVERAGE(
  (
    ('Оценка'!F186 + 4*AVERAGE('Оценка'!F186:G186) + 'Оценка'!G186)/6 - 
    2*(('Оценка'!G186 - 'Оценка'!F186)/6)
  )/5 , 
  (
    ('Оценка'!F186 + 4*AVERAGE('Оценка'!F186:G186) + 'Оценка'!G186)/6 + 
    2*(('Оценка'!G186 - 'Оценка'!F186)/6)
  )/5
) * 
(
  (
    ('PM (Расчеты)'!$C$22/8 + 'PM (Расчеты)'!$C$23/40) + 
    'PM (Расчеты)'!$C$21/100 + 'PM (Расчеты)'!$C$25/100 + 
    'PM (Расчеты)'!$C$26/100
  ) + 1
))*5)
</f>
        <v/>
      </c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  <c r="AB186" s="133"/>
      <c r="AC186" s="133"/>
      <c r="AD186" s="133"/>
      <c r="AE186" s="133"/>
      <c r="AF186" s="133"/>
    </row>
    <row r="187">
      <c r="A187" s="196"/>
      <c r="B187" s="133"/>
      <c r="C187" s="133"/>
      <c r="D187" s="197"/>
      <c r="E187" s="133"/>
      <c r="F187" s="198"/>
      <c r="G187" s="198"/>
      <c r="H187" s="146" t="str">
        <f>IF(OR(ISBLANK('Оценка'!F187), ISBLANK('Оценка'!G187)), "", 
(AVERAGE(
  (
    ('Оценка'!F187 + 4*AVERAGE('Оценка'!F187:G187) + 'Оценка'!G187)/6 - 
    2*(('Оценка'!G187 - 'Оценка'!F187)/6)
  )/5 , 
  (
    ('Оценка'!F187 + 4*AVERAGE('Оценка'!F187:G187) + 'Оценка'!G187)/6 + 
    2*(('Оценка'!G187 - 'Оценка'!F187)/6)
  )/5
) * 
(
  (
    ('PM (Расчеты)'!$C$22/8 + 'PM (Расчеты)'!$C$23/40) + 
    'PM (Расчеты)'!$C$21/100 + 'PM (Расчеты)'!$C$25/100 + 
    'PM (Расчеты)'!$C$26/100
  ) + 1
))*5)
</f>
        <v/>
      </c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  <c r="AB187" s="133"/>
      <c r="AC187" s="133"/>
      <c r="AD187" s="133"/>
      <c r="AE187" s="133"/>
      <c r="AF187" s="133"/>
    </row>
    <row r="188">
      <c r="A188" s="196"/>
      <c r="B188" s="133"/>
      <c r="C188" s="133"/>
      <c r="D188" s="197"/>
      <c r="E188" s="133"/>
      <c r="F188" s="198"/>
      <c r="G188" s="198"/>
      <c r="H188" s="146" t="str">
        <f>IF(OR(ISBLANK('Оценка'!F188), ISBLANK('Оценка'!G188)), "", 
(AVERAGE(
  (
    ('Оценка'!F188 + 4*AVERAGE('Оценка'!F188:G188) + 'Оценка'!G188)/6 - 
    2*(('Оценка'!G188 - 'Оценка'!F188)/6)
  )/5 , 
  (
    ('Оценка'!F188 + 4*AVERAGE('Оценка'!F188:G188) + 'Оценка'!G188)/6 + 
    2*(('Оценка'!G188 - 'Оценка'!F188)/6)
  )/5
) * 
(
  (
    ('PM (Расчеты)'!$C$22/8 + 'PM (Расчеты)'!$C$23/40) + 
    'PM (Расчеты)'!$C$21/100 + 'PM (Расчеты)'!$C$25/100 + 
    'PM (Расчеты)'!$C$26/100
  ) + 1
))*5)
</f>
        <v/>
      </c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  <c r="AC188" s="133"/>
      <c r="AD188" s="133"/>
      <c r="AE188" s="133"/>
      <c r="AF188" s="133"/>
    </row>
    <row r="189">
      <c r="A189" s="196"/>
      <c r="B189" s="133"/>
      <c r="C189" s="133"/>
      <c r="D189" s="197"/>
      <c r="E189" s="133"/>
      <c r="F189" s="198"/>
      <c r="G189" s="198"/>
      <c r="H189" s="146" t="str">
        <f>IF(OR(ISBLANK('Оценка'!F189), ISBLANK('Оценка'!G189)), "", 
(AVERAGE(
  (
    ('Оценка'!F189 + 4*AVERAGE('Оценка'!F189:G189) + 'Оценка'!G189)/6 - 
    2*(('Оценка'!G189 - 'Оценка'!F189)/6)
  )/5 , 
  (
    ('Оценка'!F189 + 4*AVERAGE('Оценка'!F189:G189) + 'Оценка'!G189)/6 + 
    2*(('Оценка'!G189 - 'Оценка'!F189)/6)
  )/5
) * 
(
  (
    ('PM (Расчеты)'!$C$22/8 + 'PM (Расчеты)'!$C$23/40) + 
    'PM (Расчеты)'!$C$21/100 + 'PM (Расчеты)'!$C$25/100 + 
    'PM (Расчеты)'!$C$26/100
  ) + 1
))*5)
</f>
        <v/>
      </c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  <c r="AB189" s="133"/>
      <c r="AC189" s="133"/>
      <c r="AD189" s="133"/>
      <c r="AE189" s="133"/>
      <c r="AF189" s="133"/>
    </row>
    <row r="190">
      <c r="A190" s="196"/>
      <c r="B190" s="133"/>
      <c r="C190" s="133"/>
      <c r="D190" s="197"/>
      <c r="E190" s="133"/>
      <c r="F190" s="198"/>
      <c r="G190" s="198"/>
      <c r="H190" s="146" t="str">
        <f>IF(OR(ISBLANK('Оценка'!F190), ISBLANK('Оценка'!G190)), "", 
(AVERAGE(
  (
    ('Оценка'!F190 + 4*AVERAGE('Оценка'!F190:G190) + 'Оценка'!G190)/6 - 
    2*(('Оценка'!G190 - 'Оценка'!F190)/6)
  )/5 , 
  (
    ('Оценка'!F190 + 4*AVERAGE('Оценка'!F190:G190) + 'Оценка'!G190)/6 + 
    2*(('Оценка'!G190 - 'Оценка'!F190)/6)
  )/5
) * 
(
  (
    ('PM (Расчеты)'!$C$22/8 + 'PM (Расчеты)'!$C$23/40) + 
    'PM (Расчеты)'!$C$21/100 + 'PM (Расчеты)'!$C$25/100 + 
    'PM (Расчеты)'!$C$26/100
  ) + 1
))*5)
</f>
        <v/>
      </c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  <c r="AB190" s="133"/>
      <c r="AC190" s="133"/>
      <c r="AD190" s="133"/>
      <c r="AE190" s="133"/>
      <c r="AF190" s="133"/>
    </row>
    <row r="191">
      <c r="A191" s="196"/>
      <c r="B191" s="133"/>
      <c r="C191" s="133"/>
      <c r="D191" s="197"/>
      <c r="E191" s="133"/>
      <c r="F191" s="198"/>
      <c r="G191" s="198"/>
      <c r="H191" s="146" t="str">
        <f>IF(OR(ISBLANK('Оценка'!F191), ISBLANK('Оценка'!G191)), "", 
(AVERAGE(
  (
    ('Оценка'!F191 + 4*AVERAGE('Оценка'!F191:G191) + 'Оценка'!G191)/6 - 
    2*(('Оценка'!G191 - 'Оценка'!F191)/6)
  )/5 , 
  (
    ('Оценка'!F191 + 4*AVERAGE('Оценка'!F191:G191) + 'Оценка'!G191)/6 + 
    2*(('Оценка'!G191 - 'Оценка'!F191)/6)
  )/5
) * 
(
  (
    ('PM (Расчеты)'!$C$22/8 + 'PM (Расчеты)'!$C$23/40) + 
    'PM (Расчеты)'!$C$21/100 + 'PM (Расчеты)'!$C$25/100 + 
    'PM (Расчеты)'!$C$26/100
  ) + 1
))*5)
</f>
        <v/>
      </c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  <c r="AB191" s="133"/>
      <c r="AC191" s="133"/>
      <c r="AD191" s="133"/>
      <c r="AE191" s="133"/>
      <c r="AF191" s="133"/>
    </row>
    <row r="192">
      <c r="A192" s="196"/>
      <c r="B192" s="133"/>
      <c r="C192" s="133"/>
      <c r="D192" s="197"/>
      <c r="E192" s="133"/>
      <c r="F192" s="198"/>
      <c r="G192" s="198"/>
      <c r="H192" s="146" t="str">
        <f>IF(OR(ISBLANK('Оценка'!F192), ISBLANK('Оценка'!G192)), "", 
(AVERAGE(
  (
    ('Оценка'!F192 + 4*AVERAGE('Оценка'!F192:G192) + 'Оценка'!G192)/6 - 
    2*(('Оценка'!G192 - 'Оценка'!F192)/6)
  )/5 , 
  (
    ('Оценка'!F192 + 4*AVERAGE('Оценка'!F192:G192) + 'Оценка'!G192)/6 + 
    2*(('Оценка'!G192 - 'Оценка'!F192)/6)
  )/5
) * 
(
  (
    ('PM (Расчеты)'!$C$22/8 + 'PM (Расчеты)'!$C$23/40) + 
    'PM (Расчеты)'!$C$21/100 + 'PM (Расчеты)'!$C$25/100 + 
    'PM (Расчеты)'!$C$26/100
  ) + 1
))*5)
</f>
        <v/>
      </c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  <c r="AB192" s="133"/>
      <c r="AC192" s="133"/>
      <c r="AD192" s="133"/>
      <c r="AE192" s="133"/>
      <c r="AF192" s="133"/>
    </row>
    <row r="193">
      <c r="A193" s="196"/>
      <c r="B193" s="133"/>
      <c r="C193" s="133"/>
      <c r="D193" s="197"/>
      <c r="E193" s="133"/>
      <c r="F193" s="198"/>
      <c r="G193" s="198"/>
      <c r="H193" s="146" t="str">
        <f>IF(OR(ISBLANK('Оценка'!F193), ISBLANK('Оценка'!G193)), "", 
(AVERAGE(
  (
    ('Оценка'!F193 + 4*AVERAGE('Оценка'!F193:G193) + 'Оценка'!G193)/6 - 
    2*(('Оценка'!G193 - 'Оценка'!F193)/6)
  )/5 , 
  (
    ('Оценка'!F193 + 4*AVERAGE('Оценка'!F193:G193) + 'Оценка'!G193)/6 + 
    2*(('Оценка'!G193 - 'Оценка'!F193)/6)
  )/5
) * 
(
  (
    ('PM (Расчеты)'!$C$22/8 + 'PM (Расчеты)'!$C$23/40) + 
    'PM (Расчеты)'!$C$21/100 + 'PM (Расчеты)'!$C$25/100 + 
    'PM (Расчеты)'!$C$26/100
  ) + 1
))*5)
</f>
        <v/>
      </c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  <c r="AB193" s="133"/>
      <c r="AC193" s="133"/>
      <c r="AD193" s="133"/>
      <c r="AE193" s="133"/>
      <c r="AF193" s="133"/>
    </row>
    <row r="194">
      <c r="A194" s="196"/>
      <c r="B194" s="133"/>
      <c r="C194" s="133"/>
      <c r="D194" s="197"/>
      <c r="E194" s="133"/>
      <c r="F194" s="198"/>
      <c r="G194" s="198"/>
      <c r="H194" s="146" t="str">
        <f>IF(OR(ISBLANK('Оценка'!F194), ISBLANK('Оценка'!G194)), "", 
(AVERAGE(
  (
    ('Оценка'!F194 + 4*AVERAGE('Оценка'!F194:G194) + 'Оценка'!G194)/6 - 
    2*(('Оценка'!G194 - 'Оценка'!F194)/6)
  )/5 , 
  (
    ('Оценка'!F194 + 4*AVERAGE('Оценка'!F194:G194) + 'Оценка'!G194)/6 + 
    2*(('Оценка'!G194 - 'Оценка'!F194)/6)
  )/5
) * 
(
  (
    ('PM (Расчеты)'!$C$22/8 + 'PM (Расчеты)'!$C$23/40) + 
    'PM (Расчеты)'!$C$21/100 + 'PM (Расчеты)'!$C$25/100 + 
    'PM (Расчеты)'!$C$26/100
  ) + 1
))*5)
</f>
        <v/>
      </c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  <c r="AA194" s="133"/>
      <c r="AB194" s="133"/>
      <c r="AC194" s="133"/>
      <c r="AD194" s="133"/>
      <c r="AE194" s="133"/>
      <c r="AF194" s="133"/>
    </row>
    <row r="195">
      <c r="A195" s="197"/>
      <c r="B195" s="133"/>
      <c r="C195" s="133"/>
      <c r="D195" s="197"/>
      <c r="E195" s="133"/>
      <c r="F195" s="198"/>
      <c r="G195" s="198"/>
      <c r="H195" s="146" t="str">
        <f>IF(OR(ISBLANK('Оценка'!F195), ISBLANK('Оценка'!G195)), "", 
(AVERAGE(
  (
    ('Оценка'!F195 + 4*AVERAGE('Оценка'!F195:G195) + 'Оценка'!G195)/6 - 
    2*(('Оценка'!G195 - 'Оценка'!F195)/6)
  )/5 , 
  (
    ('Оценка'!F195 + 4*AVERAGE('Оценка'!F195:G195) + 'Оценка'!G195)/6 + 
    2*(('Оценка'!G195 - 'Оценка'!F195)/6)
  )/5
) * 
(
  (
    ('PM (Расчеты)'!$C$22/8 + 'PM (Расчеты)'!$C$23/40) + 
    'PM (Расчеты)'!$C$21/100 + 'PM (Расчеты)'!$C$25/100 + 
    'PM (Расчеты)'!$C$26/100
  ) + 1
))*5)
</f>
        <v/>
      </c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  <c r="AB195" s="133"/>
      <c r="AC195" s="133"/>
      <c r="AD195" s="133"/>
      <c r="AE195" s="133"/>
      <c r="AF195" s="133"/>
    </row>
    <row r="196">
      <c r="A196" s="197"/>
      <c r="B196" s="133"/>
      <c r="C196" s="133"/>
      <c r="D196" s="197"/>
      <c r="E196" s="133"/>
      <c r="F196" s="198"/>
      <c r="G196" s="198"/>
      <c r="H196" s="146" t="str">
        <f>IF(OR(ISBLANK('Оценка'!F196), ISBLANK('Оценка'!G196)), "", 
(AVERAGE(
  (
    ('Оценка'!F196 + 4*AVERAGE('Оценка'!F196:G196) + 'Оценка'!G196)/6 - 
    2*(('Оценка'!G196 - 'Оценка'!F196)/6)
  )/5 , 
  (
    ('Оценка'!F196 + 4*AVERAGE('Оценка'!F196:G196) + 'Оценка'!G196)/6 + 
    2*(('Оценка'!G196 - 'Оценка'!F196)/6)
  )/5
) * 
(
  (
    ('PM (Расчеты)'!$C$22/8 + 'PM (Расчеты)'!$C$23/40) + 
    'PM (Расчеты)'!$C$21/100 + 'PM (Расчеты)'!$C$25/100 + 
    'PM (Расчеты)'!$C$26/100
  ) + 1
))*5)
</f>
        <v/>
      </c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  <c r="AB196" s="133"/>
      <c r="AC196" s="133"/>
      <c r="AD196" s="133"/>
      <c r="AE196" s="133"/>
      <c r="AF196" s="133"/>
    </row>
    <row r="197">
      <c r="A197" s="197"/>
      <c r="B197" s="133"/>
      <c r="C197" s="133"/>
      <c r="D197" s="197"/>
      <c r="E197" s="133"/>
      <c r="F197" s="198"/>
      <c r="G197" s="198"/>
      <c r="H197" s="146" t="str">
        <f>IF(OR(ISBLANK('Оценка'!F197), ISBLANK('Оценка'!G197)), "", 
(AVERAGE(
  (
    ('Оценка'!F197 + 4*AVERAGE('Оценка'!F197:G197) + 'Оценка'!G197)/6 - 
    2*(('Оценка'!G197 - 'Оценка'!F197)/6)
  )/5 , 
  (
    ('Оценка'!F197 + 4*AVERAGE('Оценка'!F197:G197) + 'Оценка'!G197)/6 + 
    2*(('Оценка'!G197 - 'Оценка'!F197)/6)
  )/5
) * 
(
  (
    ('PM (Расчеты)'!$C$22/8 + 'PM (Расчеты)'!$C$23/40) + 
    'PM (Расчеты)'!$C$21/100 + 'PM (Расчеты)'!$C$25/100 + 
    'PM (Расчеты)'!$C$26/100
  ) + 1
))*5)
</f>
        <v/>
      </c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  <c r="AB197" s="133"/>
      <c r="AC197" s="133"/>
      <c r="AD197" s="133"/>
      <c r="AE197" s="133"/>
      <c r="AF197" s="133"/>
    </row>
    <row r="198">
      <c r="A198" s="197"/>
      <c r="B198" s="133"/>
      <c r="C198" s="133"/>
      <c r="D198" s="197"/>
      <c r="E198" s="133"/>
      <c r="F198" s="198"/>
      <c r="G198" s="198"/>
      <c r="H198" s="146" t="str">
        <f>IF(OR(ISBLANK('Оценка'!F198), ISBLANK('Оценка'!G198)), "", 
(AVERAGE(
  (
    ('Оценка'!F198 + 4*AVERAGE('Оценка'!F198:G198) + 'Оценка'!G198)/6 - 
    2*(('Оценка'!G198 - 'Оценка'!F198)/6)
  )/5 , 
  (
    ('Оценка'!F198 + 4*AVERAGE('Оценка'!F198:G198) + 'Оценка'!G198)/6 + 
    2*(('Оценка'!G198 - 'Оценка'!F198)/6)
  )/5
) * 
(
  (
    ('PM (Расчеты)'!$C$22/8 + 'PM (Расчеты)'!$C$23/40) + 
    'PM (Расчеты)'!$C$21/100 + 'PM (Расчеты)'!$C$25/100 + 
    'PM (Расчеты)'!$C$26/100
  ) + 1
))*5)
</f>
        <v/>
      </c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133"/>
      <c r="AC198" s="133"/>
      <c r="AD198" s="133"/>
      <c r="AE198" s="133"/>
      <c r="AF198" s="133"/>
    </row>
    <row r="199">
      <c r="A199" s="197"/>
      <c r="B199" s="133"/>
      <c r="C199" s="133"/>
      <c r="D199" s="197"/>
      <c r="E199" s="133"/>
      <c r="F199" s="198"/>
      <c r="G199" s="198"/>
      <c r="H199" s="146" t="str">
        <f>IF(OR(ISBLANK('Оценка'!F199), ISBLANK('Оценка'!G199)), "", 
(AVERAGE(
  (
    ('Оценка'!F199 + 4*AVERAGE('Оценка'!F199:G199) + 'Оценка'!G199)/6 - 
    2*(('Оценка'!G199 - 'Оценка'!F199)/6)
  )/5 , 
  (
    ('Оценка'!F199 + 4*AVERAGE('Оценка'!F199:G199) + 'Оценка'!G199)/6 + 
    2*(('Оценка'!G199 - 'Оценка'!F199)/6)
  )/5
) * 
(
  (
    ('PM (Расчеты)'!$C$22/8 + 'PM (Расчеты)'!$C$23/40) + 
    'PM (Расчеты)'!$C$21/100 + 'PM (Расчеты)'!$C$25/100 + 
    'PM (Расчеты)'!$C$26/100
  ) + 1
))*5)
</f>
        <v/>
      </c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  <c r="AB199" s="133"/>
      <c r="AC199" s="133"/>
      <c r="AD199" s="133"/>
      <c r="AE199" s="133"/>
      <c r="AF199" s="133"/>
    </row>
    <row r="200">
      <c r="A200" s="197"/>
      <c r="B200" s="133"/>
      <c r="C200" s="133"/>
      <c r="D200" s="197"/>
      <c r="E200" s="133"/>
      <c r="F200" s="198"/>
      <c r="G200" s="198"/>
      <c r="H200" s="146" t="str">
        <f>IF(OR(ISBLANK('Оценка'!F200), ISBLANK('Оценка'!G200)), "", 
(AVERAGE(
  (
    ('Оценка'!F200 + 4*AVERAGE('Оценка'!F200:G200) + 'Оценка'!G200)/6 - 
    2*(('Оценка'!G200 - 'Оценка'!F200)/6)
  )/5 , 
  (
    ('Оценка'!F200 + 4*AVERAGE('Оценка'!F200:G200) + 'Оценка'!G200)/6 + 
    2*(('Оценка'!G200 - 'Оценка'!F200)/6)
  )/5
) * 
(
  (
    ('PM (Расчеты)'!$C$22/8 + 'PM (Расчеты)'!$C$23/40) + 
    'PM (Расчеты)'!$C$21/100 + 'PM (Расчеты)'!$C$25/100 + 
    'PM (Расчеты)'!$C$26/100
  ) + 1
))*5)
</f>
        <v/>
      </c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  <c r="AC200" s="133"/>
      <c r="AD200" s="133"/>
      <c r="AE200" s="133"/>
      <c r="AF200" s="133"/>
    </row>
    <row r="201">
      <c r="A201" s="197"/>
      <c r="B201" s="133"/>
      <c r="C201" s="133"/>
      <c r="D201" s="197"/>
      <c r="E201" s="133"/>
      <c r="F201" s="198"/>
      <c r="G201" s="198"/>
      <c r="H201" s="146" t="str">
        <f>IF(OR(ISBLANK('Оценка'!F201), ISBLANK('Оценка'!G201)), "", 
(AVERAGE(
  (
    ('Оценка'!F201 + 4*AVERAGE('Оценка'!F201:G201) + 'Оценка'!G201)/6 - 
    2*(('Оценка'!G201 - 'Оценка'!F201)/6)
  )/5 , 
  (
    ('Оценка'!F201 + 4*AVERAGE('Оценка'!F201:G201) + 'Оценка'!G201)/6 + 
    2*(('Оценка'!G201 - 'Оценка'!F201)/6)
  )/5
) * 
(
  (
    ('PM (Расчеты)'!$C$22/8 + 'PM (Расчеты)'!$C$23/40) + 
    'PM (Расчеты)'!$C$21/100 + 'PM (Расчеты)'!$C$25/100 + 
    'PM (Расчеты)'!$C$26/100
  ) + 1
))*5)
</f>
        <v/>
      </c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  <c r="AC201" s="133"/>
      <c r="AD201" s="133"/>
      <c r="AE201" s="133"/>
      <c r="AF201" s="133"/>
    </row>
    <row r="202">
      <c r="A202" s="197"/>
      <c r="B202" s="133"/>
      <c r="C202" s="133"/>
      <c r="D202" s="197"/>
      <c r="E202" s="133"/>
      <c r="F202" s="198"/>
      <c r="G202" s="198"/>
      <c r="H202" s="146" t="str">
        <f>IF(OR(ISBLANK('Оценка'!F202), ISBLANK('Оценка'!G202)), "", 
(AVERAGE(
  (
    ('Оценка'!F202 + 4*AVERAGE('Оценка'!F202:G202) + 'Оценка'!G202)/6 - 
    2*(('Оценка'!G202 - 'Оценка'!F202)/6)
  )/5 , 
  (
    ('Оценка'!F202 + 4*AVERAGE('Оценка'!F202:G202) + 'Оценка'!G202)/6 + 
    2*(('Оценка'!G202 - 'Оценка'!F202)/6)
  )/5
) * 
(
  (
    ('PM (Расчеты)'!$C$22/8 + 'PM (Расчеты)'!$C$23/40) + 
    'PM (Расчеты)'!$C$21/100 + 'PM (Расчеты)'!$C$25/100 + 
    'PM (Расчеты)'!$C$26/100
  ) + 1
))*5)
</f>
        <v/>
      </c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  <c r="AC202" s="133"/>
      <c r="AD202" s="133"/>
      <c r="AE202" s="133"/>
      <c r="AF202" s="133"/>
    </row>
    <row r="203">
      <c r="A203" s="197"/>
      <c r="B203" s="133"/>
      <c r="C203" s="133"/>
      <c r="D203" s="197"/>
      <c r="E203" s="133"/>
      <c r="F203" s="198"/>
      <c r="G203" s="198"/>
      <c r="H203" s="146" t="str">
        <f>IF(OR(ISBLANK('Оценка'!F203), ISBLANK('Оценка'!G203)), "", 
(AVERAGE(
  (
    ('Оценка'!F203 + 4*AVERAGE('Оценка'!F203:G203) + 'Оценка'!G203)/6 - 
    2*(('Оценка'!G203 - 'Оценка'!F203)/6)
  )/5 , 
  (
    ('Оценка'!F203 + 4*AVERAGE('Оценка'!F203:G203) + 'Оценка'!G203)/6 + 
    2*(('Оценка'!G203 - 'Оценка'!F203)/6)
  )/5
) * 
(
  (
    ('PM (Расчеты)'!$C$22/8 + 'PM (Расчеты)'!$C$23/40) + 
    'PM (Расчеты)'!$C$21/100 + 'PM (Расчеты)'!$C$25/100 + 
    'PM (Расчеты)'!$C$26/100
  ) + 1
))*5)
</f>
        <v/>
      </c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3"/>
      <c r="AC203" s="133"/>
      <c r="AD203" s="133"/>
      <c r="AE203" s="133"/>
      <c r="AF203" s="133"/>
    </row>
    <row r="204">
      <c r="A204" s="197"/>
      <c r="B204" s="133"/>
      <c r="C204" s="133"/>
      <c r="D204" s="197"/>
      <c r="E204" s="133"/>
      <c r="F204" s="198"/>
      <c r="G204" s="198"/>
      <c r="H204" s="146" t="str">
        <f>IF(OR(ISBLANK('Оценка'!F204), ISBLANK('Оценка'!G204)), "", 
(AVERAGE(
  (
    ('Оценка'!F204 + 4*AVERAGE('Оценка'!F204:G204) + 'Оценка'!G204)/6 - 
    2*(('Оценка'!G204 - 'Оценка'!F204)/6)
  )/5 , 
  (
    ('Оценка'!F204 + 4*AVERAGE('Оценка'!F204:G204) + 'Оценка'!G204)/6 + 
    2*(('Оценка'!G204 - 'Оценка'!F204)/6)
  )/5
) * 
(
  (
    ('PM (Расчеты)'!$C$22/8 + 'PM (Расчеты)'!$C$23/40) + 
    'PM (Расчеты)'!$C$21/100 + 'PM (Расчеты)'!$C$25/100 + 
    'PM (Расчеты)'!$C$26/100
  ) + 1
))*5)
</f>
        <v/>
      </c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  <c r="AB204" s="133"/>
      <c r="AC204" s="133"/>
      <c r="AD204" s="133"/>
      <c r="AE204" s="133"/>
      <c r="AF204" s="133"/>
    </row>
    <row r="205">
      <c r="A205" s="197"/>
      <c r="B205" s="133"/>
      <c r="C205" s="133"/>
      <c r="D205" s="197"/>
      <c r="E205" s="133"/>
      <c r="F205" s="198"/>
      <c r="G205" s="198"/>
      <c r="H205" s="146" t="str">
        <f>IF(OR(ISBLANK('Оценка'!F205), ISBLANK('Оценка'!G205)), "", 
(AVERAGE(
  (
    ('Оценка'!F205 + 4*AVERAGE('Оценка'!F205:G205) + 'Оценка'!G205)/6 - 
    2*(('Оценка'!G205 - 'Оценка'!F205)/6)
  )/5 , 
  (
    ('Оценка'!F205 + 4*AVERAGE('Оценка'!F205:G205) + 'Оценка'!G205)/6 + 
    2*(('Оценка'!G205 - 'Оценка'!F205)/6)
  )/5
) * 
(
  (
    ('PM (Расчеты)'!$C$22/8 + 'PM (Расчеты)'!$C$23/40) + 
    'PM (Расчеты)'!$C$21/100 + 'PM (Расчеты)'!$C$25/100 + 
    'PM (Расчеты)'!$C$26/100
  ) + 1
))*5)
</f>
        <v/>
      </c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3"/>
      <c r="AC205" s="133"/>
      <c r="AD205" s="133"/>
      <c r="AE205" s="133"/>
      <c r="AF205" s="133"/>
    </row>
    <row r="206">
      <c r="A206" s="197"/>
      <c r="B206" s="133"/>
      <c r="C206" s="133"/>
      <c r="D206" s="197"/>
      <c r="E206" s="133"/>
      <c r="F206" s="198"/>
      <c r="G206" s="198"/>
      <c r="H206" s="146" t="str">
        <f>IF(OR(ISBLANK('Оценка'!F206), ISBLANK('Оценка'!G206)), "", 
(AVERAGE(
  (
    ('Оценка'!F206 + 4*AVERAGE('Оценка'!F206:G206) + 'Оценка'!G206)/6 - 
    2*(('Оценка'!G206 - 'Оценка'!F206)/6)
  )/5 , 
  (
    ('Оценка'!F206 + 4*AVERAGE('Оценка'!F206:G206) + 'Оценка'!G206)/6 + 
    2*(('Оценка'!G206 - 'Оценка'!F206)/6)
  )/5
) * 
(
  (
    ('PM (Расчеты)'!$C$22/8 + 'PM (Расчеты)'!$C$23/40) + 
    'PM (Расчеты)'!$C$21/100 + 'PM (Расчеты)'!$C$25/100 + 
    'PM (Расчеты)'!$C$26/100
  ) + 1
))*5)
</f>
        <v/>
      </c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  <c r="AB206" s="133"/>
      <c r="AC206" s="133"/>
      <c r="AD206" s="133"/>
      <c r="AE206" s="133"/>
      <c r="AF206" s="133"/>
    </row>
    <row r="207">
      <c r="A207" s="197"/>
      <c r="B207" s="133"/>
      <c r="C207" s="133"/>
      <c r="D207" s="197"/>
      <c r="E207" s="133"/>
      <c r="F207" s="198"/>
      <c r="G207" s="198"/>
      <c r="H207" s="146" t="str">
        <f>IF(OR(ISBLANK('Оценка'!F207), ISBLANK('Оценка'!G207)), "", 
(AVERAGE(
  (
    ('Оценка'!F207 + 4*AVERAGE('Оценка'!F207:G207) + 'Оценка'!G207)/6 - 
    2*(('Оценка'!G207 - 'Оценка'!F207)/6)
  )/5 , 
  (
    ('Оценка'!F207 + 4*AVERAGE('Оценка'!F207:G207) + 'Оценка'!G207)/6 + 
    2*(('Оценка'!G207 - 'Оценка'!F207)/6)
  )/5
) * 
(
  (
    ('PM (Расчеты)'!$C$22/8 + 'PM (Расчеты)'!$C$23/40) + 
    'PM (Расчеты)'!$C$21/100 + 'PM (Расчеты)'!$C$25/100 + 
    'PM (Расчеты)'!$C$26/100
  ) + 1
))*5)
</f>
        <v/>
      </c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  <c r="AC207" s="133"/>
      <c r="AD207" s="133"/>
      <c r="AE207" s="133"/>
      <c r="AF207" s="133"/>
    </row>
    <row r="208">
      <c r="A208" s="197"/>
      <c r="B208" s="133"/>
      <c r="C208" s="133"/>
      <c r="D208" s="197"/>
      <c r="E208" s="133"/>
      <c r="F208" s="198"/>
      <c r="G208" s="198"/>
      <c r="H208" s="146" t="str">
        <f>IF(OR(ISBLANK('Оценка'!F208), ISBLANK('Оценка'!G208)), "", 
(AVERAGE(
  (
    ('Оценка'!F208 + 4*AVERAGE('Оценка'!F208:G208) + 'Оценка'!G208)/6 - 
    2*(('Оценка'!G208 - 'Оценка'!F208)/6)
  )/5 , 
  (
    ('Оценка'!F208 + 4*AVERAGE('Оценка'!F208:G208) + 'Оценка'!G208)/6 + 
    2*(('Оценка'!G208 - 'Оценка'!F208)/6)
  )/5
) * 
(
  (
    ('PM (Расчеты)'!$C$22/8 + 'PM (Расчеты)'!$C$23/40) + 
    'PM (Расчеты)'!$C$21/100 + 'PM (Расчеты)'!$C$25/100 + 
    'PM (Расчеты)'!$C$26/100
  ) + 1
))*5)
</f>
        <v/>
      </c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  <c r="AC208" s="133"/>
      <c r="AD208" s="133"/>
      <c r="AE208" s="133"/>
      <c r="AF208" s="133"/>
    </row>
    <row r="209">
      <c r="A209" s="197"/>
      <c r="B209" s="133"/>
      <c r="C209" s="133"/>
      <c r="D209" s="197"/>
      <c r="E209" s="133"/>
      <c r="F209" s="198"/>
      <c r="G209" s="198"/>
      <c r="H209" s="146" t="str">
        <f>IF(OR(ISBLANK('Оценка'!F209), ISBLANK('Оценка'!G209)), "", 
(AVERAGE(
  (
    ('Оценка'!F209 + 4*AVERAGE('Оценка'!F209:G209) + 'Оценка'!G209)/6 - 
    2*(('Оценка'!G209 - 'Оценка'!F209)/6)
  )/5 , 
  (
    ('Оценка'!F209 + 4*AVERAGE('Оценка'!F209:G209) + 'Оценка'!G209)/6 + 
    2*(('Оценка'!G209 - 'Оценка'!F209)/6)
  )/5
) * 
(
  (
    ('PM (Расчеты)'!$C$22/8 + 'PM (Расчеты)'!$C$23/40) + 
    'PM (Расчеты)'!$C$21/100 + 'PM (Расчеты)'!$C$25/100 + 
    'PM (Расчеты)'!$C$26/100
  ) + 1
))*5)
</f>
        <v/>
      </c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  <c r="AC209" s="133"/>
      <c r="AD209" s="133"/>
      <c r="AE209" s="133"/>
      <c r="AF209" s="133"/>
    </row>
    <row r="210">
      <c r="A210" s="197"/>
      <c r="B210" s="133"/>
      <c r="C210" s="133"/>
      <c r="D210" s="197"/>
      <c r="E210" s="133"/>
      <c r="F210" s="198"/>
      <c r="G210" s="198"/>
      <c r="H210" s="146" t="str">
        <f>IF(OR(ISBLANK('Оценка'!F210), ISBLANK('Оценка'!G210)), "", 
(AVERAGE(
  (
    ('Оценка'!F210 + 4*AVERAGE('Оценка'!F210:G210) + 'Оценка'!G210)/6 - 
    2*(('Оценка'!G210 - 'Оценка'!F210)/6)
  )/5 , 
  (
    ('Оценка'!F210 + 4*AVERAGE('Оценка'!F210:G210) + 'Оценка'!G210)/6 + 
    2*(('Оценка'!G210 - 'Оценка'!F210)/6)
  )/5
) * 
(
  (
    ('PM (Расчеты)'!$C$22/8 + 'PM (Расчеты)'!$C$23/40) + 
    'PM (Расчеты)'!$C$21/100 + 'PM (Расчеты)'!$C$25/100 + 
    'PM (Расчеты)'!$C$26/100
  ) + 1
))*5)
</f>
        <v/>
      </c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  <c r="AC210" s="133"/>
      <c r="AD210" s="133"/>
      <c r="AE210" s="133"/>
      <c r="AF210" s="133"/>
    </row>
    <row r="211">
      <c r="A211" s="197"/>
      <c r="B211" s="133"/>
      <c r="C211" s="133"/>
      <c r="D211" s="197"/>
      <c r="E211" s="133"/>
      <c r="F211" s="198"/>
      <c r="G211" s="198"/>
      <c r="H211" s="146" t="str">
        <f>IF(OR(ISBLANK('Оценка'!F211), ISBLANK('Оценка'!G211)), "", 
(AVERAGE(
  (
    ('Оценка'!F211 + 4*AVERAGE('Оценка'!F211:G211) + 'Оценка'!G211)/6 - 
    2*(('Оценка'!G211 - 'Оценка'!F211)/6)
  )/5 , 
  (
    ('Оценка'!F211 + 4*AVERAGE('Оценка'!F211:G211) + 'Оценка'!G211)/6 + 
    2*(('Оценка'!G211 - 'Оценка'!F211)/6)
  )/5
) * 
(
  (
    ('PM (Расчеты)'!$C$22/8 + 'PM (Расчеты)'!$C$23/40) + 
    'PM (Расчеты)'!$C$21/100 + 'PM (Расчеты)'!$C$25/100 + 
    'PM (Расчеты)'!$C$26/100
  ) + 1
))*5)
</f>
        <v/>
      </c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</row>
    <row r="212">
      <c r="A212" s="197"/>
      <c r="B212" s="133"/>
      <c r="C212" s="133"/>
      <c r="D212" s="197"/>
      <c r="E212" s="133"/>
      <c r="F212" s="198"/>
      <c r="G212" s="198"/>
      <c r="H212" s="146" t="str">
        <f>IF(OR(ISBLANK('Оценка'!F212), ISBLANK('Оценка'!G212)), "", 
(AVERAGE(
  (
    ('Оценка'!F212 + 4*AVERAGE('Оценка'!F212:G212) + 'Оценка'!G212)/6 - 
    2*(('Оценка'!G212 - 'Оценка'!F212)/6)
  )/5 , 
  (
    ('Оценка'!F212 + 4*AVERAGE('Оценка'!F212:G212) + 'Оценка'!G212)/6 + 
    2*(('Оценка'!G212 - 'Оценка'!F212)/6)
  )/5
) * 
(
  (
    ('PM (Расчеты)'!$C$22/8 + 'PM (Расчеты)'!$C$23/40) + 
    'PM (Расчеты)'!$C$21/100 + 'PM (Расчеты)'!$C$25/100 + 
    'PM (Расчеты)'!$C$26/100
  ) + 1
))*5)
</f>
        <v/>
      </c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  <c r="AC212" s="133"/>
      <c r="AD212" s="133"/>
      <c r="AE212" s="133"/>
      <c r="AF212" s="133"/>
    </row>
    <row r="213">
      <c r="A213" s="197"/>
      <c r="B213" s="133"/>
      <c r="C213" s="133"/>
      <c r="D213" s="197"/>
      <c r="E213" s="133"/>
      <c r="F213" s="198"/>
      <c r="G213" s="198"/>
      <c r="H213" s="146" t="str">
        <f>IF(OR(ISBLANK('Оценка'!F213), ISBLANK('Оценка'!G213)), "", 
(AVERAGE(
  (
    ('Оценка'!F213 + 4*AVERAGE('Оценка'!F213:G213) + 'Оценка'!G213)/6 - 
    2*(('Оценка'!G213 - 'Оценка'!F213)/6)
  )/5 , 
  (
    ('Оценка'!F213 + 4*AVERAGE('Оценка'!F213:G213) + 'Оценка'!G213)/6 + 
    2*(('Оценка'!G213 - 'Оценка'!F213)/6)
  )/5
) * 
(
  (
    ('PM (Расчеты)'!$C$22/8 + 'PM (Расчеты)'!$C$23/40) + 
    'PM (Расчеты)'!$C$21/100 + 'PM (Расчеты)'!$C$25/100 + 
    'PM (Расчеты)'!$C$26/100
  ) + 1
))*5)
</f>
        <v/>
      </c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  <c r="AC213" s="133"/>
      <c r="AD213" s="133"/>
      <c r="AE213" s="133"/>
      <c r="AF213" s="133"/>
    </row>
    <row r="214">
      <c r="A214" s="197"/>
      <c r="B214" s="133"/>
      <c r="C214" s="133"/>
      <c r="D214" s="197"/>
      <c r="E214" s="133"/>
      <c r="F214" s="198"/>
      <c r="G214" s="198"/>
      <c r="H214" s="146" t="str">
        <f>IF(OR(ISBLANK('Оценка'!F214), ISBLANK('Оценка'!G214)), "", 
(AVERAGE(
  (
    ('Оценка'!F214 + 4*AVERAGE('Оценка'!F214:G214) + 'Оценка'!G214)/6 - 
    2*(('Оценка'!G214 - 'Оценка'!F214)/6)
  )/5 , 
  (
    ('Оценка'!F214 + 4*AVERAGE('Оценка'!F214:G214) + 'Оценка'!G214)/6 + 
    2*(('Оценка'!G214 - 'Оценка'!F214)/6)
  )/5
) * 
(
  (
    ('PM (Расчеты)'!$C$22/8 + 'PM (Расчеты)'!$C$23/40) + 
    'PM (Расчеты)'!$C$21/100 + 'PM (Расчеты)'!$C$25/100 + 
    'PM (Расчеты)'!$C$26/100
  ) + 1
))*5)
</f>
        <v/>
      </c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  <c r="AC214" s="133"/>
      <c r="AD214" s="133"/>
      <c r="AE214" s="133"/>
      <c r="AF214" s="133"/>
    </row>
    <row r="215">
      <c r="A215" s="197"/>
      <c r="B215" s="133"/>
      <c r="C215" s="133"/>
      <c r="D215" s="197"/>
      <c r="E215" s="133"/>
      <c r="F215" s="198"/>
      <c r="G215" s="198"/>
      <c r="H215" s="146" t="str">
        <f>IF(OR(ISBLANK('Оценка'!F215), ISBLANK('Оценка'!G215)), "", 
(AVERAGE(
  (
    ('Оценка'!F215 + 4*AVERAGE('Оценка'!F215:G215) + 'Оценка'!G215)/6 - 
    2*(('Оценка'!G215 - 'Оценка'!F215)/6)
  )/5 , 
  (
    ('Оценка'!F215 + 4*AVERAGE('Оценка'!F215:G215) + 'Оценка'!G215)/6 + 
    2*(('Оценка'!G215 - 'Оценка'!F215)/6)
  )/5
) * 
(
  (
    ('PM (Расчеты)'!$C$22/8 + 'PM (Расчеты)'!$C$23/40) + 
    'PM (Расчеты)'!$C$21/100 + 'PM (Расчеты)'!$C$25/100 + 
    'PM (Расчеты)'!$C$26/100
  ) + 1
))*5)
</f>
        <v/>
      </c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</row>
    <row r="216">
      <c r="A216" s="197"/>
      <c r="B216" s="133"/>
      <c r="C216" s="133"/>
      <c r="D216" s="197"/>
      <c r="E216" s="133"/>
      <c r="F216" s="198"/>
      <c r="G216" s="198"/>
      <c r="H216" s="146" t="str">
        <f>IF(OR(ISBLANK('Оценка'!F216), ISBLANK('Оценка'!G216)), "", 
(AVERAGE(
  (
    ('Оценка'!F216 + 4*AVERAGE('Оценка'!F216:G216) + 'Оценка'!G216)/6 - 
    2*(('Оценка'!G216 - 'Оценка'!F216)/6)
  )/5 , 
  (
    ('Оценка'!F216 + 4*AVERAGE('Оценка'!F216:G216) + 'Оценка'!G216)/6 + 
    2*(('Оценка'!G216 - 'Оценка'!F216)/6)
  )/5
) * 
(
  (
    ('PM (Расчеты)'!$C$22/8 + 'PM (Расчеты)'!$C$23/40) + 
    'PM (Расчеты)'!$C$21/100 + 'PM (Расчеты)'!$C$25/100 + 
    'PM (Расчеты)'!$C$26/100
  ) + 1
))*5)
</f>
        <v/>
      </c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</row>
    <row r="217">
      <c r="A217" s="197"/>
      <c r="B217" s="133"/>
      <c r="C217" s="133"/>
      <c r="D217" s="197"/>
      <c r="E217" s="133"/>
      <c r="F217" s="198"/>
      <c r="G217" s="198"/>
      <c r="H217" s="146" t="str">
        <f>IF(OR(ISBLANK('Оценка'!F217), ISBLANK('Оценка'!G217)), "", 
(AVERAGE(
  (
    ('Оценка'!F217 + 4*AVERAGE('Оценка'!F217:G217) + 'Оценка'!G217)/6 - 
    2*(('Оценка'!G217 - 'Оценка'!F217)/6)
  )/5 , 
  (
    ('Оценка'!F217 + 4*AVERAGE('Оценка'!F217:G217) + 'Оценка'!G217)/6 + 
    2*(('Оценка'!G217 - 'Оценка'!F217)/6)
  )/5
) * 
(
  (
    ('PM (Расчеты)'!$C$22/8 + 'PM (Расчеты)'!$C$23/40) + 
    'PM (Расчеты)'!$C$21/100 + 'PM (Расчеты)'!$C$25/100 + 
    'PM (Расчеты)'!$C$26/100
  ) + 1
))*5)
</f>
        <v/>
      </c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</row>
    <row r="218">
      <c r="A218" s="197"/>
      <c r="B218" s="133"/>
      <c r="C218" s="133"/>
      <c r="D218" s="197"/>
      <c r="E218" s="133"/>
      <c r="F218" s="198"/>
      <c r="G218" s="198"/>
      <c r="H218" s="146" t="str">
        <f>IF(OR(ISBLANK('Оценка'!F218), ISBLANK('Оценка'!G218)), "", 
(AVERAGE(
  (
    ('Оценка'!F218 + 4*AVERAGE('Оценка'!F218:G218) + 'Оценка'!G218)/6 - 
    2*(('Оценка'!G218 - 'Оценка'!F218)/6)
  )/5 , 
  (
    ('Оценка'!F218 + 4*AVERAGE('Оценка'!F218:G218) + 'Оценка'!G218)/6 + 
    2*(('Оценка'!G218 - 'Оценка'!F218)/6)
  )/5
) * 
(
  (
    ('PM (Расчеты)'!$C$22/8 + 'PM (Расчеты)'!$C$23/40) + 
    'PM (Расчеты)'!$C$21/100 + 'PM (Расчеты)'!$C$25/100 + 
    'PM (Расчеты)'!$C$26/100
  ) + 1
))*5)
</f>
        <v/>
      </c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</row>
    <row r="219">
      <c r="A219" s="197"/>
      <c r="B219" s="133"/>
      <c r="C219" s="133"/>
      <c r="D219" s="197"/>
      <c r="E219" s="133"/>
      <c r="F219" s="198"/>
      <c r="G219" s="198"/>
      <c r="H219" s="146" t="str">
        <f>IF(OR(ISBLANK('Оценка'!F219), ISBLANK('Оценка'!G219)), "", 
(AVERAGE(
  (
    ('Оценка'!F219 + 4*AVERAGE('Оценка'!F219:G219) + 'Оценка'!G219)/6 - 
    2*(('Оценка'!G219 - 'Оценка'!F219)/6)
  )/5 , 
  (
    ('Оценка'!F219 + 4*AVERAGE('Оценка'!F219:G219) + 'Оценка'!G219)/6 + 
    2*(('Оценка'!G219 - 'Оценка'!F219)/6)
  )/5
) * 
(
  (
    ('PM (Расчеты)'!$C$22/8 + 'PM (Расчеты)'!$C$23/40) + 
    'PM (Расчеты)'!$C$21/100 + 'PM (Расчеты)'!$C$25/100 + 
    'PM (Расчеты)'!$C$26/100
  ) + 1
))*5)
</f>
        <v/>
      </c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</row>
    <row r="220">
      <c r="A220" s="197"/>
      <c r="B220" s="133"/>
      <c r="C220" s="133"/>
      <c r="D220" s="197"/>
      <c r="E220" s="133"/>
      <c r="F220" s="198"/>
      <c r="G220" s="198"/>
      <c r="H220" s="146" t="str">
        <f>IF(OR(ISBLANK('Оценка'!F220), ISBLANK('Оценка'!G220)), "", 
(AVERAGE(
  (
    ('Оценка'!F220 + 4*AVERAGE('Оценка'!F220:G220) + 'Оценка'!G220)/6 - 
    2*(('Оценка'!G220 - 'Оценка'!F220)/6)
  )/5 , 
  (
    ('Оценка'!F220 + 4*AVERAGE('Оценка'!F220:G220) + 'Оценка'!G220)/6 + 
    2*(('Оценка'!G220 - 'Оценка'!F220)/6)
  )/5
) * 
(
  (
    ('PM (Расчеты)'!$C$22/8 + 'PM (Расчеты)'!$C$23/40) + 
    'PM (Расчеты)'!$C$21/100 + 'PM (Расчеты)'!$C$25/100 + 
    'PM (Расчеты)'!$C$26/100
  ) + 1
))*5)
</f>
        <v/>
      </c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</row>
    <row r="221">
      <c r="A221" s="197"/>
      <c r="B221" s="133"/>
      <c r="C221" s="133"/>
      <c r="D221" s="197"/>
      <c r="E221" s="133"/>
      <c r="F221" s="198"/>
      <c r="G221" s="198"/>
      <c r="H221" s="146" t="str">
        <f>IF(OR(ISBLANK('Оценка'!F221), ISBLANK('Оценка'!G221)), "", 
(AVERAGE(
  (
    ('Оценка'!F221 + 4*AVERAGE('Оценка'!F221:G221) + 'Оценка'!G221)/6 - 
    2*(('Оценка'!G221 - 'Оценка'!F221)/6)
  )/5 , 
  (
    ('Оценка'!F221 + 4*AVERAGE('Оценка'!F221:G221) + 'Оценка'!G221)/6 + 
    2*(('Оценка'!G221 - 'Оценка'!F221)/6)
  )/5
) * 
(
  (
    ('PM (Расчеты)'!$C$22/8 + 'PM (Расчеты)'!$C$23/40) + 
    'PM (Расчеты)'!$C$21/100 + 'PM (Расчеты)'!$C$25/100 + 
    'PM (Расчеты)'!$C$26/100
  ) + 1
))*5)
</f>
        <v/>
      </c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</row>
    <row r="222">
      <c r="A222" s="197"/>
      <c r="B222" s="133"/>
      <c r="C222" s="133"/>
      <c r="D222" s="197"/>
      <c r="E222" s="133"/>
      <c r="F222" s="198"/>
      <c r="G222" s="198"/>
      <c r="H222" s="146" t="str">
        <f>IF(OR(ISBLANK('Оценка'!F222), ISBLANK('Оценка'!G222)), "", 
(AVERAGE(
  (
    ('Оценка'!F222 + 4*AVERAGE('Оценка'!F222:G222) + 'Оценка'!G222)/6 - 
    2*(('Оценка'!G222 - 'Оценка'!F222)/6)
  )/5 , 
  (
    ('Оценка'!F222 + 4*AVERAGE('Оценка'!F222:G222) + 'Оценка'!G222)/6 + 
    2*(('Оценка'!G222 - 'Оценка'!F222)/6)
  )/5
) * 
(
  (
    ('PM (Расчеты)'!$C$22/8 + 'PM (Расчеты)'!$C$23/40) + 
    'PM (Расчеты)'!$C$21/100 + 'PM (Расчеты)'!$C$25/100 + 
    'PM (Расчеты)'!$C$26/100
  ) + 1
))*5)
</f>
        <v/>
      </c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  <c r="AC222" s="133"/>
      <c r="AD222" s="133"/>
      <c r="AE222" s="133"/>
      <c r="AF222" s="133"/>
    </row>
    <row r="223">
      <c r="A223" s="197"/>
      <c r="B223" s="133"/>
      <c r="C223" s="133"/>
      <c r="D223" s="197"/>
      <c r="E223" s="133"/>
      <c r="F223" s="198"/>
      <c r="G223" s="198"/>
      <c r="H223" s="146" t="str">
        <f>IF(OR(ISBLANK('Оценка'!F223), ISBLANK('Оценка'!G223)), "", 
(AVERAGE(
  (
    ('Оценка'!F223 + 4*AVERAGE('Оценка'!F223:G223) + 'Оценка'!G223)/6 - 
    2*(('Оценка'!G223 - 'Оценка'!F223)/6)
  )/5 , 
  (
    ('Оценка'!F223 + 4*AVERAGE('Оценка'!F223:G223) + 'Оценка'!G223)/6 + 
    2*(('Оценка'!G223 - 'Оценка'!F223)/6)
  )/5
) * 
(
  (
    ('PM (Расчеты)'!$C$22/8 + 'PM (Расчеты)'!$C$23/40) + 
    'PM (Расчеты)'!$C$21/100 + 'PM (Расчеты)'!$C$25/100 + 
    'PM (Расчеты)'!$C$26/100
  ) + 1
))*5)
</f>
        <v/>
      </c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  <c r="AC223" s="133"/>
      <c r="AD223" s="133"/>
      <c r="AE223" s="133"/>
      <c r="AF223" s="133"/>
    </row>
    <row r="224">
      <c r="A224" s="197"/>
      <c r="B224" s="133"/>
      <c r="C224" s="133"/>
      <c r="D224" s="197"/>
      <c r="E224" s="133"/>
      <c r="F224" s="198"/>
      <c r="G224" s="198"/>
      <c r="H224" s="146" t="str">
        <f>IF(OR(ISBLANK('Оценка'!F224), ISBLANK('Оценка'!G224)), "", 
(AVERAGE(
  (
    ('Оценка'!F224 + 4*AVERAGE('Оценка'!F224:G224) + 'Оценка'!G224)/6 - 
    2*(('Оценка'!G224 - 'Оценка'!F224)/6)
  )/5 , 
  (
    ('Оценка'!F224 + 4*AVERAGE('Оценка'!F224:G224) + 'Оценка'!G224)/6 + 
    2*(('Оценка'!G224 - 'Оценка'!F224)/6)
  )/5
) * 
(
  (
    ('PM (Расчеты)'!$C$22/8 + 'PM (Расчеты)'!$C$23/40) + 
    'PM (Расчеты)'!$C$21/100 + 'PM (Расчеты)'!$C$25/100 + 
    'PM (Расчеты)'!$C$26/100
  ) + 1
))*5)
</f>
        <v/>
      </c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  <c r="AC224" s="133"/>
      <c r="AD224" s="133"/>
      <c r="AE224" s="133"/>
      <c r="AF224" s="133"/>
    </row>
    <row r="225">
      <c r="A225" s="197"/>
      <c r="B225" s="133"/>
      <c r="C225" s="133"/>
      <c r="D225" s="197"/>
      <c r="E225" s="133"/>
      <c r="F225" s="198"/>
      <c r="G225" s="198"/>
      <c r="H225" s="199" t="str">
        <f>IF(OR(ISBLANK('Оценка'!F225), ISBLANK('Оценка'!G225)), "", 
AVERAGE(
  (
    ('Оценка'!F225 + 4*AVERAGE('Оценка'!F225:G225) + 'Оценка'!G225)/6 - 
    2*(('Оценка'!G225 - 'Оценка'!F225)/6)
  )/5 , 
  (
    ('Оценка'!F225 + 4*AVERAGE('Оценка'!F225:G225) + 'Оценка'!G225)/6 + 
    2*(('Оценка'!G225 - 'Оценка'!F225)/6)
  )/5
) * 
(
  (
    ('PM (Расчеты)'!$C$22/8 + 'PM (Расчеты)'!$C$23/40) + 
    'PM (Расчеты)'!$C$21/100 + 'PM (Расчеты)'!$C$25/100 + 
    'PM (Расчеты)'!$C$26/100
  ) + 1
))
</f>
        <v/>
      </c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  <c r="AC225" s="133"/>
      <c r="AD225" s="133"/>
      <c r="AE225" s="133"/>
      <c r="AF225" s="133"/>
    </row>
    <row r="226">
      <c r="A226" s="197"/>
      <c r="B226" s="133"/>
      <c r="C226" s="133"/>
      <c r="D226" s="197"/>
      <c r="E226" s="133"/>
      <c r="F226" s="198"/>
      <c r="G226" s="198"/>
      <c r="H226" s="199" t="str">
        <f>IF(OR(ISBLANK('Оценка'!F226), ISBLANK('Оценка'!G226)), "", 
AVERAGE(
  (
    ('Оценка'!F226 + 4*AVERAGE('Оценка'!F226:G226) + 'Оценка'!G226)/6 - 
    2*(('Оценка'!G226 - 'Оценка'!F226)/6)
  )/5 , 
  (
    ('Оценка'!F226 + 4*AVERAGE('Оценка'!F226:G226) + 'Оценка'!G226)/6 + 
    2*(('Оценка'!G226 - 'Оценка'!F226)/6)
  )/5
) * 
(
  (
    ('PM (Расчеты)'!$C$22/8 + 'PM (Расчеты)'!$C$23/40) + 
    'PM (Расчеты)'!$C$21/100 + 'PM (Расчеты)'!$C$25/100 + 
    'PM (Расчеты)'!$C$26/100
  ) + 1
))
</f>
        <v/>
      </c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</row>
    <row r="227">
      <c r="A227" s="197"/>
      <c r="B227" s="133"/>
      <c r="C227" s="133"/>
      <c r="D227" s="197"/>
      <c r="E227" s="133"/>
      <c r="F227" s="198"/>
      <c r="G227" s="198"/>
      <c r="H227" s="199" t="str">
        <f>IF(OR(ISBLANK('Оценка'!F227), ISBLANK('Оценка'!G227)), "", 
AVERAGE(
  (
    ('Оценка'!F227 + 4*AVERAGE('Оценка'!F227:G227) + 'Оценка'!G227)/6 - 
    2*(('Оценка'!G227 - 'Оценка'!F227)/6)
  )/5 , 
  (
    ('Оценка'!F227 + 4*AVERAGE('Оценка'!F227:G227) + 'Оценка'!G227)/6 + 
    2*(('Оценка'!G227 - 'Оценка'!F227)/6)
  )/5
) * 
(
  (
    ('PM (Расчеты)'!$C$22/8 + 'PM (Расчеты)'!$C$23/40) + 
    'PM (Расчеты)'!$C$21/100 + 'PM (Расчеты)'!$C$25/100 + 
    'PM (Расчеты)'!$C$26/100
  ) + 1
))
</f>
        <v/>
      </c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  <c r="AC227" s="133"/>
      <c r="AD227" s="133"/>
      <c r="AE227" s="133"/>
      <c r="AF227" s="133"/>
    </row>
    <row r="228">
      <c r="A228" s="197"/>
      <c r="B228" s="133"/>
      <c r="C228" s="133"/>
      <c r="D228" s="197"/>
      <c r="E228" s="133"/>
      <c r="F228" s="198"/>
      <c r="G228" s="198"/>
      <c r="H228" s="199" t="str">
        <f>IF(OR(ISBLANK('Оценка'!F228), ISBLANK('Оценка'!G228)), "", 
AVERAGE(
  (
    ('Оценка'!F228 + 4*AVERAGE('Оценка'!F228:G228) + 'Оценка'!G228)/6 - 
    2*(('Оценка'!G228 - 'Оценка'!F228)/6)
  )/5 , 
  (
    ('Оценка'!F228 + 4*AVERAGE('Оценка'!F228:G228) + 'Оценка'!G228)/6 + 
    2*(('Оценка'!G228 - 'Оценка'!F228)/6)
  )/5
) * 
(
  (
    ('PM (Расчеты)'!$C$22/8 + 'PM (Расчеты)'!$C$23/40) + 
    'PM (Расчеты)'!$C$21/100 + 'PM (Расчеты)'!$C$25/100 + 
    'PM (Расчеты)'!$C$26/100
  ) + 1
))
</f>
        <v/>
      </c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</row>
    <row r="229">
      <c r="A229" s="197"/>
      <c r="B229" s="133"/>
      <c r="C229" s="133"/>
      <c r="D229" s="197"/>
      <c r="E229" s="133"/>
      <c r="F229" s="198"/>
      <c r="G229" s="198"/>
      <c r="H229" s="199" t="str">
        <f>IF(OR(ISBLANK('Оценка'!F229), ISBLANK('Оценка'!G229)), "", 
AVERAGE(
  (
    ('Оценка'!F229 + 4*AVERAGE('Оценка'!F229:G229) + 'Оценка'!G229)/6 - 
    2*(('Оценка'!G229 - 'Оценка'!F229)/6)
  )/5 , 
  (
    ('Оценка'!F229 + 4*AVERAGE('Оценка'!F229:G229) + 'Оценка'!G229)/6 + 
    2*(('Оценка'!G229 - 'Оценка'!F229)/6)
  )/5
) * 
(
  (
    ('PM (Расчеты)'!$C$22/8 + 'PM (Расчеты)'!$C$23/40) + 
    'PM (Расчеты)'!$C$21/100 + 'PM (Расчеты)'!$C$25/100 + 
    'PM (Расчеты)'!$C$26/100
  ) + 1
))
</f>
        <v/>
      </c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  <c r="AC229" s="133"/>
      <c r="AD229" s="133"/>
      <c r="AE229" s="133"/>
      <c r="AF229" s="133"/>
    </row>
    <row r="230">
      <c r="A230" s="197"/>
      <c r="B230" s="133"/>
      <c r="C230" s="133"/>
      <c r="D230" s="197"/>
      <c r="E230" s="133"/>
      <c r="F230" s="198"/>
      <c r="G230" s="198"/>
      <c r="H230" s="199" t="str">
        <f>IF(OR(ISBLANK('Оценка'!F230), ISBLANK('Оценка'!G230)), "", 
AVERAGE(
  (
    ('Оценка'!F230 + 4*AVERAGE('Оценка'!F230:G230) + 'Оценка'!G230)/6 - 
    2*(('Оценка'!G230 - 'Оценка'!F230)/6)
  )/5 , 
  (
    ('Оценка'!F230 + 4*AVERAGE('Оценка'!F230:G230) + 'Оценка'!G230)/6 + 
    2*(('Оценка'!G230 - 'Оценка'!F230)/6)
  )/5
) * 
(
  (
    ('PM (Расчеты)'!$C$22/8 + 'PM (Расчеты)'!$C$23/40) + 
    'PM (Расчеты)'!$C$21/100 + 'PM (Расчеты)'!$C$25/100 + 
    'PM (Расчеты)'!$C$26/100
  ) + 1
))
</f>
        <v/>
      </c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  <c r="AC230" s="133"/>
      <c r="AD230" s="133"/>
      <c r="AE230" s="133"/>
      <c r="AF230" s="133"/>
    </row>
    <row r="231">
      <c r="A231" s="197"/>
      <c r="B231" s="133"/>
      <c r="C231" s="133"/>
      <c r="D231" s="197"/>
      <c r="E231" s="133"/>
      <c r="F231" s="198"/>
      <c r="G231" s="198"/>
      <c r="H231" s="199" t="str">
        <f>IF(OR(ISBLANK('Оценка'!F231), ISBLANK('Оценка'!G231)), "", 
AVERAGE(
  (
    ('Оценка'!F231 + 4*AVERAGE('Оценка'!F231:G231) + 'Оценка'!G231)/6 - 
    2*(('Оценка'!G231 - 'Оценка'!F231)/6)
  )/5 , 
  (
    ('Оценка'!F231 + 4*AVERAGE('Оценка'!F231:G231) + 'Оценка'!G231)/6 + 
    2*(('Оценка'!G231 - 'Оценка'!F231)/6)
  )/5
) * 
(
  (
    ('PM (Расчеты)'!$C$22/8 + 'PM (Расчеты)'!$C$23/40) + 
    'PM (Расчеты)'!$C$21/100 + 'PM (Расчеты)'!$C$25/100 + 
    'PM (Расчеты)'!$C$26/100
  ) + 1
))
</f>
        <v/>
      </c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  <c r="AC231" s="133"/>
      <c r="AD231" s="133"/>
      <c r="AE231" s="133"/>
      <c r="AF231" s="133"/>
    </row>
    <row r="232">
      <c r="A232" s="197"/>
      <c r="B232" s="133"/>
      <c r="C232" s="133"/>
      <c r="D232" s="197"/>
      <c r="E232" s="133"/>
      <c r="F232" s="198"/>
      <c r="G232" s="198"/>
      <c r="H232" s="199" t="str">
        <f>IF(OR(ISBLANK('Оценка'!F232), ISBLANK('Оценка'!G232)), "", 
AVERAGE(
  (
    ('Оценка'!F232 + 4*AVERAGE('Оценка'!F232:G232) + 'Оценка'!G232)/6 - 
    2*(('Оценка'!G232 - 'Оценка'!F232)/6)
  )/5 , 
  (
    ('Оценка'!F232 + 4*AVERAGE('Оценка'!F232:G232) + 'Оценка'!G232)/6 + 
    2*(('Оценка'!G232 - 'Оценка'!F232)/6)
  )/5
) * 
(
  (
    ('PM (Расчеты)'!$C$22/8 + 'PM (Расчеты)'!$C$23/40) + 
    'PM (Расчеты)'!$C$21/100 + 'PM (Расчеты)'!$C$25/100 + 
    'PM (Расчеты)'!$C$26/100
  ) + 1
))
</f>
        <v/>
      </c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  <c r="AC232" s="133"/>
      <c r="AD232" s="133"/>
      <c r="AE232" s="133"/>
      <c r="AF232" s="133"/>
    </row>
    <row r="233">
      <c r="A233" s="197"/>
      <c r="B233" s="133"/>
      <c r="C233" s="133"/>
      <c r="D233" s="197"/>
      <c r="E233" s="133"/>
      <c r="F233" s="198"/>
      <c r="G233" s="198"/>
      <c r="H233" s="199" t="str">
        <f>IF(OR(ISBLANK('Оценка'!F233), ISBLANK('Оценка'!G233)), "", 
AVERAGE(
  (
    ('Оценка'!F233 + 4*AVERAGE('Оценка'!F233:G233) + 'Оценка'!G233)/6 - 
    2*(('Оценка'!G233 - 'Оценка'!F233)/6)
  )/5 , 
  (
    ('Оценка'!F233 + 4*AVERAGE('Оценка'!F233:G233) + 'Оценка'!G233)/6 + 
    2*(('Оценка'!G233 - 'Оценка'!F233)/6)
  )/5
) * 
(
  (
    ('PM (Расчеты)'!$C$22/8 + 'PM (Расчеты)'!$C$23/40) + 
    'PM (Расчеты)'!$C$21/100 + 'PM (Расчеты)'!$C$25/100 + 
    'PM (Расчеты)'!$C$26/100
  ) + 1
))
</f>
        <v/>
      </c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  <c r="AC233" s="133"/>
      <c r="AD233" s="133"/>
      <c r="AE233" s="133"/>
      <c r="AF233" s="133"/>
    </row>
    <row r="234">
      <c r="A234" s="197"/>
      <c r="B234" s="133"/>
      <c r="C234" s="133"/>
      <c r="D234" s="197"/>
      <c r="E234" s="133"/>
      <c r="F234" s="198"/>
      <c r="G234" s="198"/>
      <c r="H234" s="199" t="str">
        <f>IF(OR(ISBLANK('Оценка'!F234), ISBLANK('Оценка'!G234)), "", 
AVERAGE(
  (
    ('Оценка'!F234 + 4*AVERAGE('Оценка'!F234:G234) + 'Оценка'!G234)/6 - 
    2*(('Оценка'!G234 - 'Оценка'!F234)/6)
  )/5 , 
  (
    ('Оценка'!F234 + 4*AVERAGE('Оценка'!F234:G234) + 'Оценка'!G234)/6 + 
    2*(('Оценка'!G234 - 'Оценка'!F234)/6)
  )/5
) * 
(
  (
    ('PM (Расчеты)'!$C$22/8 + 'PM (Расчеты)'!$C$23/40) + 
    'PM (Расчеты)'!$C$21/100 + 'PM (Расчеты)'!$C$25/100 + 
    'PM (Расчеты)'!$C$26/100
  ) + 1
))
</f>
        <v/>
      </c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</row>
    <row r="235">
      <c r="A235" s="197"/>
      <c r="B235" s="133"/>
      <c r="C235" s="133"/>
      <c r="D235" s="197"/>
      <c r="E235" s="133"/>
      <c r="F235" s="198"/>
      <c r="G235" s="198"/>
      <c r="H235" s="199" t="str">
        <f>IF(OR(ISBLANK('Оценка'!F235), ISBLANK('Оценка'!G235)), "", 
AVERAGE(
  (
    ('Оценка'!F235 + 4*AVERAGE('Оценка'!F235:G235) + 'Оценка'!G235)/6 - 
    2*(('Оценка'!G235 - 'Оценка'!F235)/6)
  )/5 , 
  (
    ('Оценка'!F235 + 4*AVERAGE('Оценка'!F235:G235) + 'Оценка'!G235)/6 + 
    2*(('Оценка'!G235 - 'Оценка'!F235)/6)
  )/5
) * 
(
  (
    ('PM (Расчеты)'!$C$22/8 + 'PM (Расчеты)'!$C$23/40) + 
    'PM (Расчеты)'!$C$21/100 + 'PM (Расчеты)'!$C$25/100 + 
    'PM (Расчеты)'!$C$26/100
  ) + 1
))
</f>
        <v/>
      </c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  <c r="AC235" s="133"/>
      <c r="AD235" s="133"/>
      <c r="AE235" s="133"/>
      <c r="AF235" s="133"/>
    </row>
    <row r="236">
      <c r="A236" s="197"/>
      <c r="B236" s="133"/>
      <c r="C236" s="133"/>
      <c r="D236" s="197"/>
      <c r="E236" s="133"/>
      <c r="F236" s="198"/>
      <c r="G236" s="198"/>
      <c r="H236" s="199" t="str">
        <f>IF(OR(ISBLANK('Оценка'!F236), ISBLANK('Оценка'!G236)), "", 
AVERAGE(
  (
    ('Оценка'!F236 + 4*AVERAGE('Оценка'!F236:G236) + 'Оценка'!G236)/6 - 
    2*(('Оценка'!G236 - 'Оценка'!F236)/6)
  )/5 , 
  (
    ('Оценка'!F236 + 4*AVERAGE('Оценка'!F236:G236) + 'Оценка'!G236)/6 + 
    2*(('Оценка'!G236 - 'Оценка'!F236)/6)
  )/5
) * 
(
  (
    ('PM (Расчеты)'!$C$22/8 + 'PM (Расчеты)'!$C$23/40) + 
    'PM (Расчеты)'!$C$21/100 + 'PM (Расчеты)'!$C$25/100 + 
    'PM (Расчеты)'!$C$26/100
  ) + 1
))
</f>
        <v/>
      </c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  <c r="AC236" s="133"/>
      <c r="AD236" s="133"/>
      <c r="AE236" s="133"/>
      <c r="AF236" s="133"/>
    </row>
    <row r="237">
      <c r="A237" s="197"/>
      <c r="B237" s="133"/>
      <c r="C237" s="133"/>
      <c r="D237" s="197"/>
      <c r="E237" s="133"/>
      <c r="F237" s="198"/>
      <c r="G237" s="198"/>
      <c r="H237" s="199" t="str">
        <f>IF(OR(ISBLANK('Оценка'!F237), ISBLANK('Оценка'!G237)), "", 
AVERAGE(
  (
    ('Оценка'!F237 + 4*AVERAGE('Оценка'!F237:G237) + 'Оценка'!G237)/6 - 
    2*(('Оценка'!G237 - 'Оценка'!F237)/6)
  )/5 , 
  (
    ('Оценка'!F237 + 4*AVERAGE('Оценка'!F237:G237) + 'Оценка'!G237)/6 + 
    2*(('Оценка'!G237 - 'Оценка'!F237)/6)
  )/5
) * 
(
  (
    ('PM (Расчеты)'!$C$22/8 + 'PM (Расчеты)'!$C$23/40) + 
    'PM (Расчеты)'!$C$21/100 + 'PM (Расчеты)'!$C$25/100 + 
    'PM (Расчеты)'!$C$26/100
  ) + 1
))
</f>
        <v/>
      </c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  <c r="AC237" s="133"/>
      <c r="AD237" s="133"/>
      <c r="AE237" s="133"/>
      <c r="AF237" s="133"/>
    </row>
    <row r="238">
      <c r="A238" s="197"/>
      <c r="B238" s="133"/>
      <c r="C238" s="133"/>
      <c r="D238" s="197"/>
      <c r="E238" s="133"/>
      <c r="F238" s="198"/>
      <c r="G238" s="198"/>
      <c r="H238" s="199" t="str">
        <f>IF(OR(ISBLANK('Оценка'!F238), ISBLANK('Оценка'!G238)), "", 
AVERAGE(
  (
    ('Оценка'!F238 + 4*AVERAGE('Оценка'!F238:G238) + 'Оценка'!G238)/6 - 
    2*(('Оценка'!G238 - 'Оценка'!F238)/6)
  )/5 , 
  (
    ('Оценка'!F238 + 4*AVERAGE('Оценка'!F238:G238) + 'Оценка'!G238)/6 + 
    2*(('Оценка'!G238 - 'Оценка'!F238)/6)
  )/5
) * 
(
  (
    ('PM (Расчеты)'!$C$22/8 + 'PM (Расчеты)'!$C$23/40) + 
    'PM (Расчеты)'!$C$21/100 + 'PM (Расчеты)'!$C$25/100 + 
    'PM (Расчеты)'!$C$26/100
  ) + 1
))
</f>
        <v/>
      </c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  <c r="AC238" s="133"/>
      <c r="AD238" s="133"/>
      <c r="AE238" s="133"/>
      <c r="AF238" s="133"/>
    </row>
    <row r="239">
      <c r="A239" s="197"/>
      <c r="B239" s="133"/>
      <c r="C239" s="133"/>
      <c r="D239" s="197"/>
      <c r="E239" s="133"/>
      <c r="F239" s="198"/>
      <c r="G239" s="198"/>
      <c r="H239" s="199" t="str">
        <f>IF(OR(ISBLANK('Оценка'!F239), ISBLANK('Оценка'!G239)), "", 
AVERAGE(
  (
    ('Оценка'!F239 + 4*AVERAGE('Оценка'!F239:G239) + 'Оценка'!G239)/6 - 
    2*(('Оценка'!G239 - 'Оценка'!F239)/6)
  )/5 , 
  (
    ('Оценка'!F239 + 4*AVERAGE('Оценка'!F239:G239) + 'Оценка'!G239)/6 + 
    2*(('Оценка'!G239 - 'Оценка'!F239)/6)
  )/5
) * 
(
  (
    ('PM (Расчеты)'!$C$22/8 + 'PM (Расчеты)'!$C$23/40) + 
    'PM (Расчеты)'!$C$21/100 + 'PM (Расчеты)'!$C$25/100 + 
    'PM (Расчеты)'!$C$26/100
  ) + 1
))
</f>
        <v/>
      </c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  <c r="AC239" s="133"/>
      <c r="AD239" s="133"/>
      <c r="AE239" s="133"/>
      <c r="AF239" s="133"/>
    </row>
    <row r="240">
      <c r="A240" s="197"/>
      <c r="B240" s="133"/>
      <c r="C240" s="133"/>
      <c r="D240" s="197"/>
      <c r="E240" s="133"/>
      <c r="F240" s="198"/>
      <c r="G240" s="198"/>
      <c r="H240" s="199" t="str">
        <f>IF(OR(ISBLANK('Оценка'!F240), ISBLANK('Оценка'!G240)), "", 
AVERAGE(
  (
    ('Оценка'!F240 + 4*AVERAGE('Оценка'!F240:G240) + 'Оценка'!G240)/6 - 
    2*(('Оценка'!G240 - 'Оценка'!F240)/6)
  )/5 , 
  (
    ('Оценка'!F240 + 4*AVERAGE('Оценка'!F240:G240) + 'Оценка'!G240)/6 + 
    2*(('Оценка'!G240 - 'Оценка'!F240)/6)
  )/5
) * 
(
  (
    ('PM (Расчеты)'!$C$22/8 + 'PM (Расчеты)'!$C$23/40) + 
    'PM (Расчеты)'!$C$21/100 + 'PM (Расчеты)'!$C$25/100 + 
    'PM (Расчеты)'!$C$26/100
  ) + 1
))
</f>
        <v/>
      </c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  <c r="AC240" s="133"/>
      <c r="AD240" s="133"/>
      <c r="AE240" s="133"/>
      <c r="AF240" s="133"/>
    </row>
    <row r="241">
      <c r="A241" s="197"/>
      <c r="B241" s="133"/>
      <c r="C241" s="133"/>
      <c r="D241" s="197"/>
      <c r="E241" s="133"/>
      <c r="F241" s="198"/>
      <c r="G241" s="198"/>
      <c r="H241" s="199" t="str">
        <f>IF(OR(ISBLANK('Оценка'!F241), ISBLANK('Оценка'!G241)), "", 
AVERAGE(
  (
    ('Оценка'!F241 + 4*AVERAGE('Оценка'!F241:G241) + 'Оценка'!G241)/6 - 
    2*(('Оценка'!G241 - 'Оценка'!F241)/6)
  )/5 , 
  (
    ('Оценка'!F241 + 4*AVERAGE('Оценка'!F241:G241) + 'Оценка'!G241)/6 + 
    2*(('Оценка'!G241 - 'Оценка'!F241)/6)
  )/5
) * 
(
  (
    ('PM (Расчеты)'!$C$22/8 + 'PM (Расчеты)'!$C$23/40) + 
    'PM (Расчеты)'!$C$21/100 + 'PM (Расчеты)'!$C$25/100 + 
    'PM (Расчеты)'!$C$26/100
  ) + 1
))
</f>
        <v/>
      </c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  <c r="AD241" s="133"/>
      <c r="AE241" s="133"/>
      <c r="AF241" s="133"/>
    </row>
    <row r="242">
      <c r="A242" s="197"/>
      <c r="B242" s="133"/>
      <c r="C242" s="133"/>
      <c r="D242" s="197"/>
      <c r="E242" s="133"/>
      <c r="F242" s="198"/>
      <c r="G242" s="198"/>
      <c r="H242" s="199" t="str">
        <f>IF(OR(ISBLANK('Оценка'!F242), ISBLANK('Оценка'!G242)), "", 
AVERAGE(
  (
    ('Оценка'!F242 + 4*AVERAGE('Оценка'!F242:G242) + 'Оценка'!G242)/6 - 
    2*(('Оценка'!G242 - 'Оценка'!F242)/6)
  )/5 , 
  (
    ('Оценка'!F242 + 4*AVERAGE('Оценка'!F242:G242) + 'Оценка'!G242)/6 + 
    2*(('Оценка'!G242 - 'Оценка'!F242)/6)
  )/5
) * 
(
  (
    ('PM (Расчеты)'!$C$22/8 + 'PM (Расчеты)'!$C$23/40) + 
    'PM (Расчеты)'!$C$21/100 + 'PM (Расчеты)'!$C$25/100 + 
    'PM (Расчеты)'!$C$26/100
  ) + 1
))
</f>
        <v/>
      </c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  <c r="AC242" s="133"/>
      <c r="AD242" s="133"/>
      <c r="AE242" s="133"/>
      <c r="AF242" s="133"/>
    </row>
    <row r="243">
      <c r="A243" s="197"/>
      <c r="B243" s="133"/>
      <c r="C243" s="133"/>
      <c r="D243" s="197"/>
      <c r="E243" s="133"/>
      <c r="F243" s="198"/>
      <c r="G243" s="198"/>
      <c r="H243" s="199" t="str">
        <f>IF(OR(ISBLANK('Оценка'!F243), ISBLANK('Оценка'!G243)), "", 
AVERAGE(
  (
    ('Оценка'!F243 + 4*AVERAGE('Оценка'!F243:G243) + 'Оценка'!G243)/6 - 
    2*(('Оценка'!G243 - 'Оценка'!F243)/6)
  )/5 , 
  (
    ('Оценка'!F243 + 4*AVERAGE('Оценка'!F243:G243) + 'Оценка'!G243)/6 + 
    2*(('Оценка'!G243 - 'Оценка'!F243)/6)
  )/5
) * 
(
  (
    ('PM (Расчеты)'!$C$22/8 + 'PM (Расчеты)'!$C$23/40) + 
    'PM (Расчеты)'!$C$21/100 + 'PM (Расчеты)'!$C$25/100 + 
    'PM (Расчеты)'!$C$26/100
  ) + 1
))
</f>
        <v/>
      </c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133"/>
      <c r="AE243" s="133"/>
      <c r="AF243" s="133"/>
    </row>
    <row r="244">
      <c r="A244" s="197"/>
      <c r="B244" s="133"/>
      <c r="C244" s="133"/>
      <c r="D244" s="197"/>
      <c r="E244" s="133"/>
      <c r="F244" s="198"/>
      <c r="G244" s="198"/>
      <c r="H244" s="199" t="str">
        <f>IF(OR(ISBLANK('Оценка'!F244), ISBLANK('Оценка'!G244)), "", 
AVERAGE(
  (
    ('Оценка'!F244 + 4*AVERAGE('Оценка'!F244:G244) + 'Оценка'!G244)/6 - 
    2*(('Оценка'!G244 - 'Оценка'!F244)/6)
  )/5 , 
  (
    ('Оценка'!F244 + 4*AVERAGE('Оценка'!F244:G244) + 'Оценка'!G244)/6 + 
    2*(('Оценка'!G244 - 'Оценка'!F244)/6)
  )/5
) * 
(
  (
    ('PM (Расчеты)'!$C$22/8 + 'PM (Расчеты)'!$C$23/40) + 
    'PM (Расчеты)'!$C$21/100 + 'PM (Расчеты)'!$C$25/100 + 
    'PM (Расчеты)'!$C$26/100
  ) + 1
))
</f>
        <v/>
      </c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  <c r="AC244" s="133"/>
      <c r="AD244" s="133"/>
      <c r="AE244" s="133"/>
      <c r="AF244" s="133"/>
    </row>
    <row r="245">
      <c r="A245" s="197"/>
      <c r="B245" s="133"/>
      <c r="C245" s="133"/>
      <c r="D245" s="197"/>
      <c r="E245" s="133"/>
      <c r="F245" s="198"/>
      <c r="G245" s="198"/>
      <c r="H245" s="199" t="str">
        <f>IF(OR(ISBLANK('Оценка'!F245), ISBLANK('Оценка'!G245)), "", 
AVERAGE(
  (
    ('Оценка'!F245 + 4*AVERAGE('Оценка'!F245:G245) + 'Оценка'!G245)/6 - 
    2*(('Оценка'!G245 - 'Оценка'!F245)/6)
  )/5 , 
  (
    ('Оценка'!F245 + 4*AVERAGE('Оценка'!F245:G245) + 'Оценка'!G245)/6 + 
    2*(('Оценка'!G245 - 'Оценка'!F245)/6)
  )/5
) * 
(
  (
    ('PM (Расчеты)'!$C$22/8 + 'PM (Расчеты)'!$C$23/40) + 
    'PM (Расчеты)'!$C$21/100 + 'PM (Расчеты)'!$C$25/100 + 
    'PM (Расчеты)'!$C$26/100
  ) + 1
))
</f>
        <v/>
      </c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  <c r="AC245" s="133"/>
      <c r="AD245" s="133"/>
      <c r="AE245" s="133"/>
      <c r="AF245" s="133"/>
    </row>
    <row r="246">
      <c r="A246" s="197"/>
      <c r="B246" s="133"/>
      <c r="C246" s="133"/>
      <c r="D246" s="197"/>
      <c r="E246" s="133"/>
      <c r="F246" s="198"/>
      <c r="G246" s="198"/>
      <c r="H246" s="199" t="str">
        <f>IF(OR(ISBLANK('Оценка'!F246), ISBLANK('Оценка'!G246)), "", 
AVERAGE(
  (
    ('Оценка'!F246 + 4*AVERAGE('Оценка'!F246:G246) + 'Оценка'!G246)/6 - 
    2*(('Оценка'!G246 - 'Оценка'!F246)/6)
  )/5 , 
  (
    ('Оценка'!F246 + 4*AVERAGE('Оценка'!F246:G246) + 'Оценка'!G246)/6 + 
    2*(('Оценка'!G246 - 'Оценка'!F246)/6)
  )/5
) * 
(
  (
    ('PM (Расчеты)'!$C$22/8 + 'PM (Расчеты)'!$C$23/40) + 
    'PM (Расчеты)'!$C$21/100 + 'PM (Расчеты)'!$C$25/100 + 
    'PM (Расчеты)'!$C$26/100
  ) + 1
))
</f>
        <v/>
      </c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  <c r="AC246" s="133"/>
      <c r="AD246" s="133"/>
      <c r="AE246" s="133"/>
      <c r="AF246" s="133"/>
    </row>
    <row r="247">
      <c r="A247" s="197"/>
      <c r="B247" s="133"/>
      <c r="C247" s="133"/>
      <c r="D247" s="197"/>
      <c r="E247" s="133"/>
      <c r="F247" s="198"/>
      <c r="G247" s="198"/>
      <c r="H247" s="199" t="str">
        <f>IF(OR(ISBLANK('Оценка'!F247), ISBLANK('Оценка'!G247)), "", 
AVERAGE(
  (
    ('Оценка'!F247 + 4*AVERAGE('Оценка'!F247:G247) + 'Оценка'!G247)/6 - 
    2*(('Оценка'!G247 - 'Оценка'!F247)/6)
  )/5 , 
  (
    ('Оценка'!F247 + 4*AVERAGE('Оценка'!F247:G247) + 'Оценка'!G247)/6 + 
    2*(('Оценка'!G247 - 'Оценка'!F247)/6)
  )/5
) * 
(
  (
    ('PM (Расчеты)'!$C$22/8 + 'PM (Расчеты)'!$C$23/40) + 
    'PM (Расчеты)'!$C$21/100 + 'PM (Расчеты)'!$C$25/100 + 
    'PM (Расчеты)'!$C$26/100
  ) + 1
))
</f>
        <v/>
      </c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  <c r="AC247" s="133"/>
      <c r="AD247" s="133"/>
      <c r="AE247" s="133"/>
      <c r="AF247" s="133"/>
    </row>
    <row r="248">
      <c r="A248" s="197"/>
      <c r="B248" s="133"/>
      <c r="C248" s="133"/>
      <c r="D248" s="197"/>
      <c r="E248" s="133"/>
      <c r="F248" s="198"/>
      <c r="G248" s="198"/>
      <c r="H248" s="199" t="str">
        <f>IF(OR(ISBLANK('Оценка'!F248), ISBLANK('Оценка'!G248)), "", 
AVERAGE(
  (
    ('Оценка'!F248 + 4*AVERAGE('Оценка'!F248:G248) + 'Оценка'!G248)/6 - 
    2*(('Оценка'!G248 - 'Оценка'!F248)/6)
  )/5 , 
  (
    ('Оценка'!F248 + 4*AVERAGE('Оценка'!F248:G248) + 'Оценка'!G248)/6 + 
    2*(('Оценка'!G248 - 'Оценка'!F248)/6)
  )/5
) * 
(
  (
    ('PM (Расчеты)'!$C$22/8 + 'PM (Расчеты)'!$C$23/40) + 
    'PM (Расчеты)'!$C$21/100 + 'PM (Расчеты)'!$C$25/100 + 
    'PM (Расчеты)'!$C$26/100
  ) + 1
))
</f>
        <v/>
      </c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  <c r="AC248" s="133"/>
      <c r="AD248" s="133"/>
      <c r="AE248" s="133"/>
      <c r="AF248" s="133"/>
    </row>
    <row r="249">
      <c r="A249" s="197"/>
      <c r="B249" s="133"/>
      <c r="C249" s="133"/>
      <c r="D249" s="197"/>
      <c r="E249" s="133"/>
      <c r="F249" s="198"/>
      <c r="G249" s="198"/>
      <c r="H249" s="199" t="str">
        <f>IF(OR(ISBLANK('Оценка'!F249), ISBLANK('Оценка'!G249)), "", 
AVERAGE(
  (
    ('Оценка'!F249 + 4*AVERAGE('Оценка'!F249:G249) + 'Оценка'!G249)/6 - 
    2*(('Оценка'!G249 - 'Оценка'!F249)/6)
  )/5 , 
  (
    ('Оценка'!F249 + 4*AVERAGE('Оценка'!F249:G249) + 'Оценка'!G249)/6 + 
    2*(('Оценка'!G249 - 'Оценка'!F249)/6)
  )/5
) * 
(
  (
    ('PM (Расчеты)'!$C$22/8 + 'PM (Расчеты)'!$C$23/40) + 
    'PM (Расчеты)'!$C$21/100 + 'PM (Расчеты)'!$C$25/100 + 
    'PM (Расчеты)'!$C$26/100
  ) + 1
))
</f>
        <v/>
      </c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  <c r="AC249" s="133"/>
      <c r="AD249" s="133"/>
      <c r="AE249" s="133"/>
      <c r="AF249" s="133"/>
    </row>
    <row r="250">
      <c r="A250" s="197"/>
      <c r="B250" s="133"/>
      <c r="C250" s="133"/>
      <c r="D250" s="197"/>
      <c r="E250" s="133"/>
      <c r="F250" s="198"/>
      <c r="G250" s="198"/>
      <c r="H250" s="199" t="str">
        <f>IF(OR(ISBLANK('Оценка'!F250), ISBLANK('Оценка'!G250)), "", 
AVERAGE(
  (
    ('Оценка'!F250 + 4*AVERAGE('Оценка'!F250:G250) + 'Оценка'!G250)/6 - 
    2*(('Оценка'!G250 - 'Оценка'!F250)/6)
  )/5 , 
  (
    ('Оценка'!F250 + 4*AVERAGE('Оценка'!F250:G250) + 'Оценка'!G250)/6 + 
    2*(('Оценка'!G250 - 'Оценка'!F250)/6)
  )/5
) * 
(
  (
    ('PM (Расчеты)'!$C$22/8 + 'PM (Расчеты)'!$C$23/40) + 
    'PM (Расчеты)'!$C$21/100 + 'PM (Расчеты)'!$C$25/100 + 
    'PM (Расчеты)'!$C$26/100
  ) + 1
))
</f>
        <v/>
      </c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  <c r="AC250" s="133"/>
      <c r="AD250" s="133"/>
      <c r="AE250" s="133"/>
      <c r="AF250" s="133"/>
    </row>
    <row r="251">
      <c r="A251" s="197"/>
      <c r="B251" s="133"/>
      <c r="C251" s="133"/>
      <c r="D251" s="197"/>
      <c r="E251" s="133"/>
      <c r="F251" s="198"/>
      <c r="G251" s="198"/>
      <c r="H251" s="199" t="str">
        <f>IF(OR(ISBLANK('Оценка'!F251), ISBLANK('Оценка'!G251)), "", 
AVERAGE(
  (
    ('Оценка'!F251 + 4*AVERAGE('Оценка'!F251:G251) + 'Оценка'!G251)/6 - 
    2*(('Оценка'!G251 - 'Оценка'!F251)/6)
  )/5 , 
  (
    ('Оценка'!F251 + 4*AVERAGE('Оценка'!F251:G251) + 'Оценка'!G251)/6 + 
    2*(('Оценка'!G251 - 'Оценка'!F251)/6)
  )/5
) * 
(
  (
    ('PM (Расчеты)'!$C$22/8 + 'PM (Расчеты)'!$C$23/40) + 
    'PM (Расчеты)'!$C$21/100 + 'PM (Расчеты)'!$C$25/100 + 
    'PM (Расчеты)'!$C$26/100
  ) + 1
))
</f>
        <v/>
      </c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  <c r="AC251" s="133"/>
      <c r="AD251" s="133"/>
      <c r="AE251" s="133"/>
      <c r="AF251" s="133"/>
    </row>
    <row r="252">
      <c r="A252" s="197"/>
      <c r="B252" s="133"/>
      <c r="C252" s="133"/>
      <c r="D252" s="197"/>
      <c r="E252" s="133"/>
      <c r="F252" s="198"/>
      <c r="G252" s="198"/>
      <c r="H252" s="199" t="str">
        <f>IF(OR(ISBLANK('Оценка'!F252), ISBLANK('Оценка'!G252)), "", 
AVERAGE(
  (
    ('Оценка'!F252 + 4*AVERAGE('Оценка'!F252:G252) + 'Оценка'!G252)/6 - 
    2*(('Оценка'!G252 - 'Оценка'!F252)/6)
  )/5 , 
  (
    ('Оценка'!F252 + 4*AVERAGE('Оценка'!F252:G252) + 'Оценка'!G252)/6 + 
    2*(('Оценка'!G252 - 'Оценка'!F252)/6)
  )/5
) * 
(
  (
    ('PM (Расчеты)'!$C$22/8 + 'PM (Расчеты)'!$C$23/40) + 
    'PM (Расчеты)'!$C$21/100 + 'PM (Расчеты)'!$C$25/100 + 
    'PM (Расчеты)'!$C$26/100
  ) + 1
))
</f>
        <v/>
      </c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  <c r="AC252" s="133"/>
      <c r="AD252" s="133"/>
      <c r="AE252" s="133"/>
      <c r="AF252" s="133"/>
    </row>
    <row r="253">
      <c r="A253" s="197"/>
      <c r="B253" s="133"/>
      <c r="C253" s="133"/>
      <c r="D253" s="197"/>
      <c r="E253" s="133"/>
      <c r="F253" s="198"/>
      <c r="G253" s="198"/>
      <c r="H253" s="199" t="str">
        <f>IF(OR(ISBLANK('Оценка'!F253), ISBLANK('Оценка'!G253)), "", 
AVERAGE(
  (
    ('Оценка'!F253 + 4*AVERAGE('Оценка'!F253:G253) + 'Оценка'!G253)/6 - 
    2*(('Оценка'!G253 - 'Оценка'!F253)/6)
  )/5 , 
  (
    ('Оценка'!F253 + 4*AVERAGE('Оценка'!F253:G253) + 'Оценка'!G253)/6 + 
    2*(('Оценка'!G253 - 'Оценка'!F253)/6)
  )/5
) * 
(
  (
    ('PM (Расчеты)'!$C$22/8 + 'PM (Расчеты)'!$C$23/40) + 
    'PM (Расчеты)'!$C$21/100 + 'PM (Расчеты)'!$C$25/100 + 
    'PM (Расчеты)'!$C$26/100
  ) + 1
))
</f>
        <v/>
      </c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  <c r="AC253" s="133"/>
      <c r="AD253" s="133"/>
      <c r="AE253" s="133"/>
      <c r="AF253" s="133"/>
    </row>
    <row r="254">
      <c r="A254" s="197"/>
      <c r="B254" s="133"/>
      <c r="C254" s="133"/>
      <c r="D254" s="197"/>
      <c r="E254" s="133"/>
      <c r="F254" s="198"/>
      <c r="G254" s="198"/>
      <c r="H254" s="199" t="str">
        <f>IF(OR(ISBLANK('Оценка'!F254), ISBLANK('Оценка'!G254)), "", 
AVERAGE(
  (
    ('Оценка'!F254 + 4*AVERAGE('Оценка'!F254:G254) + 'Оценка'!G254)/6 - 
    2*(('Оценка'!G254 - 'Оценка'!F254)/6)
  )/5 , 
  (
    ('Оценка'!F254 + 4*AVERAGE('Оценка'!F254:G254) + 'Оценка'!G254)/6 + 
    2*(('Оценка'!G254 - 'Оценка'!F254)/6)
  )/5
) * 
(
  (
    ('PM (Расчеты)'!$C$22/8 + 'PM (Расчеты)'!$C$23/40) + 
    'PM (Расчеты)'!$C$21/100 + 'PM (Расчеты)'!$C$25/100 + 
    'PM (Расчеты)'!$C$26/100
  ) + 1
))
</f>
        <v/>
      </c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  <c r="AC254" s="133"/>
      <c r="AD254" s="133"/>
      <c r="AE254" s="133"/>
      <c r="AF254" s="133"/>
    </row>
    <row r="255">
      <c r="A255" s="197"/>
      <c r="B255" s="133"/>
      <c r="C255" s="133"/>
      <c r="D255" s="197"/>
      <c r="E255" s="133"/>
      <c r="F255" s="198"/>
      <c r="G255" s="198"/>
      <c r="H255" s="199" t="str">
        <f>IF(OR(ISBLANK('Оценка'!F255), ISBLANK('Оценка'!G255)), "", 
AVERAGE(
  (
    ('Оценка'!F255 + 4*AVERAGE('Оценка'!F255:G255) + 'Оценка'!G255)/6 - 
    2*(('Оценка'!G255 - 'Оценка'!F255)/6)
  )/5 , 
  (
    ('Оценка'!F255 + 4*AVERAGE('Оценка'!F255:G255) + 'Оценка'!G255)/6 + 
    2*(('Оценка'!G255 - 'Оценка'!F255)/6)
  )/5
) * 
(
  (
    ('PM (Расчеты)'!$C$22/8 + 'PM (Расчеты)'!$C$23/40) + 
    'PM (Расчеты)'!$C$21/100 + 'PM (Расчеты)'!$C$25/100 + 
    'PM (Расчеты)'!$C$26/100
  ) + 1
))
</f>
        <v/>
      </c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  <c r="AC255" s="133"/>
      <c r="AD255" s="133"/>
      <c r="AE255" s="133"/>
      <c r="AF255" s="133"/>
    </row>
    <row r="256">
      <c r="A256" s="197"/>
      <c r="B256" s="133"/>
      <c r="C256" s="133"/>
      <c r="D256" s="197"/>
      <c r="E256" s="133"/>
      <c r="F256" s="198"/>
      <c r="G256" s="198"/>
      <c r="H256" s="199" t="str">
        <f>IF(OR(ISBLANK('Оценка'!F256), ISBLANK('Оценка'!G256)), "", 
AVERAGE(
  (
    ('Оценка'!F256 + 4*AVERAGE('Оценка'!F256:G256) + 'Оценка'!G256)/6 - 
    2*(('Оценка'!G256 - 'Оценка'!F256)/6)
  )/5 , 
  (
    ('Оценка'!F256 + 4*AVERAGE('Оценка'!F256:G256) + 'Оценка'!G256)/6 + 
    2*(('Оценка'!G256 - 'Оценка'!F256)/6)
  )/5
) * 
(
  (
    ('PM (Расчеты)'!$C$22/8 + 'PM (Расчеты)'!$C$23/40) + 
    'PM (Расчеты)'!$C$21/100 + 'PM (Расчеты)'!$C$25/100 + 
    'PM (Расчеты)'!$C$26/100
  ) + 1
))
</f>
        <v/>
      </c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  <c r="AC256" s="133"/>
      <c r="AD256" s="133"/>
      <c r="AE256" s="133"/>
      <c r="AF256" s="133"/>
    </row>
    <row r="257">
      <c r="A257" s="197"/>
      <c r="B257" s="133"/>
      <c r="C257" s="133"/>
      <c r="D257" s="197"/>
      <c r="E257" s="133"/>
      <c r="F257" s="198"/>
      <c r="G257" s="198"/>
      <c r="H257" s="199" t="str">
        <f>IF(OR(ISBLANK('Оценка'!F257), ISBLANK('Оценка'!G257)), "", 
AVERAGE(
  (
    ('Оценка'!F257 + 4*AVERAGE('Оценка'!F257:G257) + 'Оценка'!G257)/6 - 
    2*(('Оценка'!G257 - 'Оценка'!F257)/6)
  )/5 , 
  (
    ('Оценка'!F257 + 4*AVERAGE('Оценка'!F257:G257) + 'Оценка'!G257)/6 + 
    2*(('Оценка'!G257 - 'Оценка'!F257)/6)
  )/5
) * 
(
  (
    ('PM (Расчеты)'!$C$22/8 + 'PM (Расчеты)'!$C$23/40) + 
    'PM (Расчеты)'!$C$21/100 + 'PM (Расчеты)'!$C$25/100 + 
    'PM (Расчеты)'!$C$26/100
  ) + 1
))
</f>
        <v/>
      </c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  <c r="AC257" s="133"/>
      <c r="AD257" s="133"/>
      <c r="AE257" s="133"/>
      <c r="AF257" s="133"/>
    </row>
    <row r="258">
      <c r="A258" s="197"/>
      <c r="B258" s="133"/>
      <c r="C258" s="133"/>
      <c r="D258" s="197"/>
      <c r="E258" s="133"/>
      <c r="F258" s="198"/>
      <c r="G258" s="198"/>
      <c r="H258" s="199" t="str">
        <f>IF(OR(ISBLANK('Оценка'!F258), ISBLANK('Оценка'!G258)), "", 
AVERAGE(
  (
    ('Оценка'!F258 + 4*AVERAGE('Оценка'!F258:G258) + 'Оценка'!G258)/6 - 
    2*(('Оценка'!G258 - 'Оценка'!F258)/6)
  )/5 , 
  (
    ('Оценка'!F258 + 4*AVERAGE('Оценка'!F258:G258) + 'Оценка'!G258)/6 + 
    2*(('Оценка'!G258 - 'Оценка'!F258)/6)
  )/5
) * 
(
  (
    ('PM (Расчеты)'!$C$22/8 + 'PM (Расчеты)'!$C$23/40) + 
    'PM (Расчеты)'!$C$21/100 + 'PM (Расчеты)'!$C$25/100 + 
    'PM (Расчеты)'!$C$26/100
  ) + 1
))
</f>
        <v/>
      </c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  <c r="AC258" s="133"/>
      <c r="AD258" s="133"/>
      <c r="AE258" s="133"/>
      <c r="AF258" s="133"/>
    </row>
    <row r="259">
      <c r="A259" s="197"/>
      <c r="B259" s="133"/>
      <c r="C259" s="133"/>
      <c r="D259" s="197"/>
      <c r="E259" s="133"/>
      <c r="F259" s="198"/>
      <c r="G259" s="198"/>
      <c r="H259" s="199" t="str">
        <f>IF(OR(ISBLANK('Оценка'!F259), ISBLANK('Оценка'!G259)), "", 
AVERAGE(
  (
    ('Оценка'!F259 + 4*AVERAGE('Оценка'!F259:G259) + 'Оценка'!G259)/6 - 
    2*(('Оценка'!G259 - 'Оценка'!F259)/6)
  )/5 , 
  (
    ('Оценка'!F259 + 4*AVERAGE('Оценка'!F259:G259) + 'Оценка'!G259)/6 + 
    2*(('Оценка'!G259 - 'Оценка'!F259)/6)
  )/5
) * 
(
  (
    ('PM (Расчеты)'!$C$22/8 + 'PM (Расчеты)'!$C$23/40) + 
    'PM (Расчеты)'!$C$21/100 + 'PM (Расчеты)'!$C$25/100 + 
    'PM (Расчеты)'!$C$26/100
  ) + 1
))
</f>
        <v/>
      </c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  <c r="AC259" s="133"/>
      <c r="AD259" s="133"/>
      <c r="AE259" s="133"/>
      <c r="AF259" s="133"/>
    </row>
    <row r="260">
      <c r="A260" s="197"/>
      <c r="B260" s="133"/>
      <c r="C260" s="133"/>
      <c r="D260" s="197"/>
      <c r="E260" s="133"/>
      <c r="F260" s="198"/>
      <c r="G260" s="198"/>
      <c r="H260" s="199" t="str">
        <f>IF(OR(ISBLANK('Оценка'!F260), ISBLANK('Оценка'!G260)), "", 
AVERAGE(
  (
    ('Оценка'!F260 + 4*AVERAGE('Оценка'!F260:G260) + 'Оценка'!G260)/6 - 
    2*(('Оценка'!G260 - 'Оценка'!F260)/6)
  )/5 , 
  (
    ('Оценка'!F260 + 4*AVERAGE('Оценка'!F260:G260) + 'Оценка'!G260)/6 + 
    2*(('Оценка'!G260 - 'Оценка'!F260)/6)
  )/5
) * 
(
  (
    ('PM (Расчеты)'!$C$22/8 + 'PM (Расчеты)'!$C$23/40) + 
    'PM (Расчеты)'!$C$21/100 + 'PM (Расчеты)'!$C$25/100 + 
    'PM (Расчеты)'!$C$26/100
  ) + 1
))
</f>
        <v/>
      </c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  <c r="AC260" s="133"/>
      <c r="AD260" s="133"/>
      <c r="AE260" s="133"/>
      <c r="AF260" s="133"/>
    </row>
    <row r="261">
      <c r="A261" s="197"/>
      <c r="B261" s="133"/>
      <c r="C261" s="133"/>
      <c r="D261" s="197"/>
      <c r="E261" s="133"/>
      <c r="F261" s="198"/>
      <c r="G261" s="198"/>
      <c r="H261" s="199" t="str">
        <f>IF(OR(ISBLANK('Оценка'!F261), ISBLANK('Оценка'!G261)), "", 
AVERAGE(
  (
    ('Оценка'!F261 + 4*AVERAGE('Оценка'!F261:G261) + 'Оценка'!G261)/6 - 
    2*(('Оценка'!G261 - 'Оценка'!F261)/6)
  )/5 , 
  (
    ('Оценка'!F261 + 4*AVERAGE('Оценка'!F261:G261) + 'Оценка'!G261)/6 + 
    2*(('Оценка'!G261 - 'Оценка'!F261)/6)
  )/5
) * 
(
  (
    ('PM (Расчеты)'!$C$22/8 + 'PM (Расчеты)'!$C$23/40) + 
    'PM (Расчеты)'!$C$21/100 + 'PM (Расчеты)'!$C$25/100 + 
    'PM (Расчеты)'!$C$26/100
  ) + 1
))
</f>
        <v/>
      </c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  <c r="AC261" s="133"/>
      <c r="AD261" s="133"/>
      <c r="AE261" s="133"/>
      <c r="AF261" s="133"/>
    </row>
    <row r="262">
      <c r="A262" s="197"/>
      <c r="B262" s="133"/>
      <c r="C262" s="133"/>
      <c r="D262" s="197"/>
      <c r="E262" s="133"/>
      <c r="F262" s="198"/>
      <c r="G262" s="198"/>
      <c r="H262" s="199" t="str">
        <f>IF(OR(ISBLANK('Оценка'!F262), ISBLANK('Оценка'!G262)), "", 
AVERAGE(
  (
    ('Оценка'!F262 + 4*AVERAGE('Оценка'!F262:G262) + 'Оценка'!G262)/6 - 
    2*(('Оценка'!G262 - 'Оценка'!F262)/6)
  )/5 , 
  (
    ('Оценка'!F262 + 4*AVERAGE('Оценка'!F262:G262) + 'Оценка'!G262)/6 + 
    2*(('Оценка'!G262 - 'Оценка'!F262)/6)
  )/5
) * 
(
  (
    ('PM (Расчеты)'!$C$22/8 + 'PM (Расчеты)'!$C$23/40) + 
    'PM (Расчеты)'!$C$21/100 + 'PM (Расчеты)'!$C$25/100 + 
    'PM (Расчеты)'!$C$26/100
  ) + 1
))
</f>
        <v/>
      </c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  <c r="AC262" s="133"/>
      <c r="AD262" s="133"/>
      <c r="AE262" s="133"/>
      <c r="AF262" s="133"/>
    </row>
    <row r="263">
      <c r="A263" s="197"/>
      <c r="B263" s="133"/>
      <c r="C263" s="133"/>
      <c r="D263" s="197"/>
      <c r="E263" s="133"/>
      <c r="F263" s="198"/>
      <c r="G263" s="198"/>
      <c r="H263" s="199" t="str">
        <f>IF(OR(ISBLANK('Оценка'!F263), ISBLANK('Оценка'!G263)), "", 
AVERAGE(
  (
    ('Оценка'!F263 + 4*AVERAGE('Оценка'!F263:G263) + 'Оценка'!G263)/6 - 
    2*(('Оценка'!G263 - 'Оценка'!F263)/6)
  )/5 , 
  (
    ('Оценка'!F263 + 4*AVERAGE('Оценка'!F263:G263) + 'Оценка'!G263)/6 + 
    2*(('Оценка'!G263 - 'Оценка'!F263)/6)
  )/5
) * 
(
  (
    ('PM (Расчеты)'!$C$22/8 + 'PM (Расчеты)'!$C$23/40) + 
    'PM (Расчеты)'!$C$21/100 + 'PM (Расчеты)'!$C$25/100 + 
    'PM (Расчеты)'!$C$26/100
  ) + 1
))
</f>
        <v/>
      </c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  <c r="AC263" s="133"/>
      <c r="AD263" s="133"/>
      <c r="AE263" s="133"/>
      <c r="AF263" s="133"/>
    </row>
    <row r="264">
      <c r="A264" s="197"/>
      <c r="B264" s="133"/>
      <c r="C264" s="133"/>
      <c r="D264" s="197"/>
      <c r="E264" s="133"/>
      <c r="F264" s="198"/>
      <c r="G264" s="198"/>
      <c r="H264" s="199" t="str">
        <f>IF(OR(ISBLANK('Оценка'!F264), ISBLANK('Оценка'!G264)), "", 
AVERAGE(
  (
    ('Оценка'!F264 + 4*AVERAGE('Оценка'!F264:G264) + 'Оценка'!G264)/6 - 
    2*(('Оценка'!G264 - 'Оценка'!F264)/6)
  )/5 , 
  (
    ('Оценка'!F264 + 4*AVERAGE('Оценка'!F264:G264) + 'Оценка'!G264)/6 + 
    2*(('Оценка'!G264 - 'Оценка'!F264)/6)
  )/5
) * 
(
  (
    ('PM (Расчеты)'!$C$22/8 + 'PM (Расчеты)'!$C$23/40) + 
    'PM (Расчеты)'!$C$21/100 + 'PM (Расчеты)'!$C$25/100 + 
    'PM (Расчеты)'!$C$26/100
  ) + 1
))
</f>
        <v/>
      </c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</row>
    <row r="265">
      <c r="A265" s="197"/>
      <c r="B265" s="133"/>
      <c r="C265" s="133"/>
      <c r="D265" s="197"/>
      <c r="E265" s="133"/>
      <c r="F265" s="198"/>
      <c r="G265" s="198"/>
      <c r="H265" s="199" t="str">
        <f>IF(OR(ISBLANK('Оценка'!F265), ISBLANK('Оценка'!G265)), "", 
AVERAGE(
  (
    ('Оценка'!F265 + 4*AVERAGE('Оценка'!F265:G265) + 'Оценка'!G265)/6 - 
    2*(('Оценка'!G265 - 'Оценка'!F265)/6)
  )/5 , 
  (
    ('Оценка'!F265 + 4*AVERAGE('Оценка'!F265:G265) + 'Оценка'!G265)/6 + 
    2*(('Оценка'!G265 - 'Оценка'!F265)/6)
  )/5
) * 
(
  (
    ('PM (Расчеты)'!$C$22/8 + 'PM (Расчеты)'!$C$23/40) + 
    'PM (Расчеты)'!$C$21/100 + 'PM (Расчеты)'!$C$25/100 + 
    'PM (Расчеты)'!$C$26/100
  ) + 1
))
</f>
        <v/>
      </c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  <c r="AC265" s="133"/>
      <c r="AD265" s="133"/>
      <c r="AE265" s="133"/>
      <c r="AF265" s="133"/>
    </row>
    <row r="266">
      <c r="A266" s="197"/>
      <c r="B266" s="133"/>
      <c r="C266" s="133"/>
      <c r="D266" s="197"/>
      <c r="E266" s="133"/>
      <c r="F266" s="198"/>
      <c r="G266" s="198"/>
      <c r="H266" s="199" t="str">
        <f>IF(OR(ISBLANK('Оценка'!F266), ISBLANK('Оценка'!G266)), "", 
AVERAGE(
  (
    ('Оценка'!F266 + 4*AVERAGE('Оценка'!F266:G266) + 'Оценка'!G266)/6 - 
    2*(('Оценка'!G266 - 'Оценка'!F266)/6)
  )/5 , 
  (
    ('Оценка'!F266 + 4*AVERAGE('Оценка'!F266:G266) + 'Оценка'!G266)/6 + 
    2*(('Оценка'!G266 - 'Оценка'!F266)/6)
  )/5
) * 
(
  (
    ('PM (Расчеты)'!$C$22/8 + 'PM (Расчеты)'!$C$23/40) + 
    'PM (Расчеты)'!$C$21/100 + 'PM (Расчеты)'!$C$25/100 + 
    'PM (Расчеты)'!$C$26/100
  ) + 1
))
</f>
        <v/>
      </c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  <c r="AC266" s="133"/>
      <c r="AD266" s="133"/>
      <c r="AE266" s="133"/>
      <c r="AF266" s="133"/>
    </row>
    <row r="267">
      <c r="A267" s="197"/>
      <c r="B267" s="133"/>
      <c r="C267" s="133"/>
      <c r="D267" s="197"/>
      <c r="E267" s="133"/>
      <c r="F267" s="198"/>
      <c r="G267" s="198"/>
      <c r="H267" s="199" t="str">
        <f>IF(OR(ISBLANK('Оценка'!F267), ISBLANK('Оценка'!G267)), "", 
AVERAGE(
  (
    ('Оценка'!F267 + 4*AVERAGE('Оценка'!F267:G267) + 'Оценка'!G267)/6 - 
    2*(('Оценка'!G267 - 'Оценка'!F267)/6)
  )/5 , 
  (
    ('Оценка'!F267 + 4*AVERAGE('Оценка'!F267:G267) + 'Оценка'!G267)/6 + 
    2*(('Оценка'!G267 - 'Оценка'!F267)/6)
  )/5
) * 
(
  (
    ('PM (Расчеты)'!$C$22/8 + 'PM (Расчеты)'!$C$23/40) + 
    'PM (Расчеты)'!$C$21/100 + 'PM (Расчеты)'!$C$25/100 + 
    'PM (Расчеты)'!$C$26/100
  ) + 1
))
</f>
        <v/>
      </c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  <c r="AC267" s="133"/>
      <c r="AD267" s="133"/>
      <c r="AE267" s="133"/>
      <c r="AF267" s="133"/>
    </row>
    <row r="268">
      <c r="A268" s="197"/>
      <c r="B268" s="133"/>
      <c r="C268" s="133"/>
      <c r="D268" s="197"/>
      <c r="E268" s="133"/>
      <c r="F268" s="198"/>
      <c r="G268" s="198"/>
      <c r="H268" s="199" t="str">
        <f>IF(OR(ISBLANK('Оценка'!F268), ISBLANK('Оценка'!G268)), "", 
AVERAGE(
  (
    ('Оценка'!F268 + 4*AVERAGE('Оценка'!F268:G268) + 'Оценка'!G268)/6 - 
    2*(('Оценка'!G268 - 'Оценка'!F268)/6)
  )/5 , 
  (
    ('Оценка'!F268 + 4*AVERAGE('Оценка'!F268:G268) + 'Оценка'!G268)/6 + 
    2*(('Оценка'!G268 - 'Оценка'!F268)/6)
  )/5
) * 
(
  (
    ('PM (Расчеты)'!$C$22/8 + 'PM (Расчеты)'!$C$23/40) + 
    'PM (Расчеты)'!$C$21/100 + 'PM (Расчеты)'!$C$25/100 + 
    'PM (Расчеты)'!$C$26/100
  ) + 1
))
</f>
        <v/>
      </c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  <c r="AC268" s="133"/>
      <c r="AD268" s="133"/>
      <c r="AE268" s="133"/>
      <c r="AF268" s="133"/>
    </row>
    <row r="269">
      <c r="A269" s="197"/>
      <c r="B269" s="133"/>
      <c r="C269" s="133"/>
      <c r="D269" s="197"/>
      <c r="E269" s="133"/>
      <c r="F269" s="198"/>
      <c r="G269" s="198"/>
      <c r="H269" s="199" t="str">
        <f>IF(OR(ISBLANK('Оценка'!F269), ISBLANK('Оценка'!G269)), "", 
AVERAGE(
  (
    ('Оценка'!F269 + 4*AVERAGE('Оценка'!F269:G269) + 'Оценка'!G269)/6 - 
    2*(('Оценка'!G269 - 'Оценка'!F269)/6)
  )/5 , 
  (
    ('Оценка'!F269 + 4*AVERAGE('Оценка'!F269:G269) + 'Оценка'!G269)/6 + 
    2*(('Оценка'!G269 - 'Оценка'!F269)/6)
  )/5
) * 
(
  (
    ('PM (Расчеты)'!$C$22/8 + 'PM (Расчеты)'!$C$23/40) + 
    'PM (Расчеты)'!$C$21/100 + 'PM (Расчеты)'!$C$25/100 + 
    'PM (Расчеты)'!$C$26/100
  ) + 1
))
</f>
        <v/>
      </c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  <c r="AC269" s="133"/>
      <c r="AD269" s="133"/>
      <c r="AE269" s="133"/>
      <c r="AF269" s="133"/>
    </row>
    <row r="270">
      <c r="A270" s="197"/>
      <c r="B270" s="133"/>
      <c r="C270" s="133"/>
      <c r="D270" s="197"/>
      <c r="E270" s="133"/>
      <c r="F270" s="198"/>
      <c r="G270" s="198"/>
      <c r="H270" s="199" t="str">
        <f>IF(OR(ISBLANK('Оценка'!F270), ISBLANK('Оценка'!G270)), "", 
AVERAGE(
  (
    ('Оценка'!F270 + 4*AVERAGE('Оценка'!F270:G270) + 'Оценка'!G270)/6 - 
    2*(('Оценка'!G270 - 'Оценка'!F270)/6)
  )/5 , 
  (
    ('Оценка'!F270 + 4*AVERAGE('Оценка'!F270:G270) + 'Оценка'!G270)/6 + 
    2*(('Оценка'!G270 - 'Оценка'!F270)/6)
  )/5
) * 
(
  (
    ('PM (Расчеты)'!$C$22/8 + 'PM (Расчеты)'!$C$23/40) + 
    'PM (Расчеты)'!$C$21/100 + 'PM (Расчеты)'!$C$25/100 + 
    'PM (Расчеты)'!$C$26/100
  ) + 1
))
</f>
        <v/>
      </c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  <c r="AC270" s="133"/>
      <c r="AD270" s="133"/>
      <c r="AE270" s="133"/>
      <c r="AF270" s="133"/>
    </row>
    <row r="271">
      <c r="A271" s="197"/>
      <c r="B271" s="133"/>
      <c r="C271" s="133"/>
      <c r="D271" s="197"/>
      <c r="E271" s="133"/>
      <c r="F271" s="198"/>
      <c r="G271" s="198"/>
      <c r="H271" s="199" t="str">
        <f>IF(OR(ISBLANK('Оценка'!F271), ISBLANK('Оценка'!G271)), "", 
AVERAGE(
  (
    ('Оценка'!F271 + 4*AVERAGE('Оценка'!F271:G271) + 'Оценка'!G271)/6 - 
    2*(('Оценка'!G271 - 'Оценка'!F271)/6)
  )/5 , 
  (
    ('Оценка'!F271 + 4*AVERAGE('Оценка'!F271:G271) + 'Оценка'!G271)/6 + 
    2*(('Оценка'!G271 - 'Оценка'!F271)/6)
  )/5
) * 
(
  (
    ('PM (Расчеты)'!$C$22/8 + 'PM (Расчеты)'!$C$23/40) + 
    'PM (Расчеты)'!$C$21/100 + 'PM (Расчеты)'!$C$25/100 + 
    'PM (Расчеты)'!$C$26/100
  ) + 1
))
</f>
        <v/>
      </c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  <c r="AC271" s="133"/>
      <c r="AD271" s="133"/>
      <c r="AE271" s="133"/>
      <c r="AF271" s="133"/>
    </row>
    <row r="272">
      <c r="A272" s="197"/>
      <c r="B272" s="133"/>
      <c r="C272" s="133"/>
      <c r="D272" s="197"/>
      <c r="E272" s="133"/>
      <c r="F272" s="198"/>
      <c r="G272" s="198"/>
      <c r="H272" s="199" t="str">
        <f>IF(OR(ISBLANK('Оценка'!F272), ISBLANK('Оценка'!G272)), "", 
AVERAGE(
  (
    ('Оценка'!F272 + 4*AVERAGE('Оценка'!F272:G272) + 'Оценка'!G272)/6 - 
    2*(('Оценка'!G272 - 'Оценка'!F272)/6)
  )/5 , 
  (
    ('Оценка'!F272 + 4*AVERAGE('Оценка'!F272:G272) + 'Оценка'!G272)/6 + 
    2*(('Оценка'!G272 - 'Оценка'!F272)/6)
  )/5
) * 
(
  (
    ('PM (Расчеты)'!$C$22/8 + 'PM (Расчеты)'!$C$23/40) + 
    'PM (Расчеты)'!$C$21/100 + 'PM (Расчеты)'!$C$25/100 + 
    'PM (Расчеты)'!$C$26/100
  ) + 1
))
</f>
        <v/>
      </c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  <c r="AC272" s="133"/>
      <c r="AD272" s="133"/>
      <c r="AE272" s="133"/>
      <c r="AF272" s="133"/>
    </row>
    <row r="273">
      <c r="A273" s="197"/>
      <c r="B273" s="133"/>
      <c r="C273" s="133"/>
      <c r="D273" s="197"/>
      <c r="E273" s="133"/>
      <c r="F273" s="198"/>
      <c r="G273" s="198"/>
      <c r="H273" s="199" t="str">
        <f>IF(OR(ISBLANK('Оценка'!F273), ISBLANK('Оценка'!G273)), "", 
AVERAGE(
  (
    ('Оценка'!F273 + 4*AVERAGE('Оценка'!F273:G273) + 'Оценка'!G273)/6 - 
    2*(('Оценка'!G273 - 'Оценка'!F273)/6)
  )/5 , 
  (
    ('Оценка'!F273 + 4*AVERAGE('Оценка'!F273:G273) + 'Оценка'!G273)/6 + 
    2*(('Оценка'!G273 - 'Оценка'!F273)/6)
  )/5
) * 
(
  (
    ('PM (Расчеты)'!$C$22/8 + 'PM (Расчеты)'!$C$23/40) + 
    'PM (Расчеты)'!$C$21/100 + 'PM (Расчеты)'!$C$25/100 + 
    'PM (Расчеты)'!$C$26/100
  ) + 1
))
</f>
        <v/>
      </c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  <c r="AC273" s="133"/>
      <c r="AD273" s="133"/>
      <c r="AE273" s="133"/>
      <c r="AF273" s="133"/>
    </row>
    <row r="274">
      <c r="A274" s="197"/>
      <c r="B274" s="133"/>
      <c r="C274" s="133"/>
      <c r="D274" s="197"/>
      <c r="E274" s="133"/>
      <c r="F274" s="198"/>
      <c r="G274" s="198"/>
      <c r="H274" s="199" t="str">
        <f>IF(OR(ISBLANK('Оценка'!F274), ISBLANK('Оценка'!G274)), "", 
AVERAGE(
  (
    ('Оценка'!F274 + 4*AVERAGE('Оценка'!F274:G274) + 'Оценка'!G274)/6 - 
    2*(('Оценка'!G274 - 'Оценка'!F274)/6)
  )/5 , 
  (
    ('Оценка'!F274 + 4*AVERAGE('Оценка'!F274:G274) + 'Оценка'!G274)/6 + 
    2*(('Оценка'!G274 - 'Оценка'!F274)/6)
  )/5
) * 
(
  (
    ('PM (Расчеты)'!$C$22/8 + 'PM (Расчеты)'!$C$23/40) + 
    'PM (Расчеты)'!$C$21/100 + 'PM (Расчеты)'!$C$25/100 + 
    'PM (Расчеты)'!$C$26/100
  ) + 1
))
</f>
        <v/>
      </c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  <c r="AC274" s="133"/>
      <c r="AD274" s="133"/>
      <c r="AE274" s="133"/>
      <c r="AF274" s="133"/>
    </row>
    <row r="275">
      <c r="A275" s="197"/>
      <c r="B275" s="133"/>
      <c r="C275" s="133"/>
      <c r="D275" s="197"/>
      <c r="E275" s="133"/>
      <c r="F275" s="198"/>
      <c r="G275" s="198"/>
      <c r="H275" s="199" t="str">
        <f>IF(OR(ISBLANK('Оценка'!F275), ISBLANK('Оценка'!G275)), "", 
AVERAGE(
  (
    ('Оценка'!F275 + 4*AVERAGE('Оценка'!F275:G275) + 'Оценка'!G275)/6 - 
    2*(('Оценка'!G275 - 'Оценка'!F275)/6)
  )/5 , 
  (
    ('Оценка'!F275 + 4*AVERAGE('Оценка'!F275:G275) + 'Оценка'!G275)/6 + 
    2*(('Оценка'!G275 - 'Оценка'!F275)/6)
  )/5
) * 
(
  (
    ('PM (Расчеты)'!$C$22/8 + 'PM (Расчеты)'!$C$23/40) + 
    'PM (Расчеты)'!$C$21/100 + 'PM (Расчеты)'!$C$25/100 + 
    'PM (Расчеты)'!$C$26/100
  ) + 1
))
</f>
        <v/>
      </c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  <c r="AC275" s="133"/>
      <c r="AD275" s="133"/>
      <c r="AE275" s="133"/>
      <c r="AF275" s="133"/>
    </row>
    <row r="276">
      <c r="A276" s="197"/>
      <c r="B276" s="133"/>
      <c r="C276" s="133"/>
      <c r="D276" s="197"/>
      <c r="E276" s="133"/>
      <c r="F276" s="198"/>
      <c r="G276" s="198"/>
      <c r="H276" s="199" t="str">
        <f>IF(OR(ISBLANK('Оценка'!F276), ISBLANK('Оценка'!G276)), "", 
AVERAGE(
  (
    ('Оценка'!F276 + 4*AVERAGE('Оценка'!F276:G276) + 'Оценка'!G276)/6 - 
    2*(('Оценка'!G276 - 'Оценка'!F276)/6)
  )/5 , 
  (
    ('Оценка'!F276 + 4*AVERAGE('Оценка'!F276:G276) + 'Оценка'!G276)/6 + 
    2*(('Оценка'!G276 - 'Оценка'!F276)/6)
  )/5
) * 
(
  (
    ('PM (Расчеты)'!$C$22/8 + 'PM (Расчеты)'!$C$23/40) + 
    'PM (Расчеты)'!$C$21/100 + 'PM (Расчеты)'!$C$25/100 + 
    'PM (Расчеты)'!$C$26/100
  ) + 1
))
</f>
        <v/>
      </c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  <c r="AC276" s="133"/>
      <c r="AD276" s="133"/>
      <c r="AE276" s="133"/>
      <c r="AF276" s="133"/>
    </row>
    <row r="277">
      <c r="A277" s="197"/>
      <c r="B277" s="133"/>
      <c r="C277" s="133"/>
      <c r="D277" s="197"/>
      <c r="E277" s="133"/>
      <c r="F277" s="198"/>
      <c r="G277" s="198"/>
      <c r="H277" s="199" t="str">
        <f>IF(OR(ISBLANK('Оценка'!F277), ISBLANK('Оценка'!G277)), "", 
AVERAGE(
  (
    ('Оценка'!F277 + 4*AVERAGE('Оценка'!F277:G277) + 'Оценка'!G277)/6 - 
    2*(('Оценка'!G277 - 'Оценка'!F277)/6)
  )/5 , 
  (
    ('Оценка'!F277 + 4*AVERAGE('Оценка'!F277:G277) + 'Оценка'!G277)/6 + 
    2*(('Оценка'!G277 - 'Оценка'!F277)/6)
  )/5
) * 
(
  (
    ('PM (Расчеты)'!$C$22/8 + 'PM (Расчеты)'!$C$23/40) + 
    'PM (Расчеты)'!$C$21/100 + 'PM (Расчеты)'!$C$25/100 + 
    'PM (Расчеты)'!$C$26/100
  ) + 1
))
</f>
        <v/>
      </c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  <c r="AC277" s="133"/>
      <c r="AD277" s="133"/>
      <c r="AE277" s="133"/>
      <c r="AF277" s="133"/>
    </row>
    <row r="278">
      <c r="A278" s="197"/>
      <c r="B278" s="133"/>
      <c r="C278" s="133"/>
      <c r="D278" s="197"/>
      <c r="E278" s="133"/>
      <c r="F278" s="198"/>
      <c r="G278" s="198"/>
      <c r="H278" s="199" t="str">
        <f>IF(OR(ISBLANK('Оценка'!F278), ISBLANK('Оценка'!G278)), "", 
AVERAGE(
  (
    ('Оценка'!F278 + 4*AVERAGE('Оценка'!F278:G278) + 'Оценка'!G278)/6 - 
    2*(('Оценка'!G278 - 'Оценка'!F278)/6)
  )/5 , 
  (
    ('Оценка'!F278 + 4*AVERAGE('Оценка'!F278:G278) + 'Оценка'!G278)/6 + 
    2*(('Оценка'!G278 - 'Оценка'!F278)/6)
  )/5
) * 
(
  (
    ('PM (Расчеты)'!$C$22/8 + 'PM (Расчеты)'!$C$23/40) + 
    'PM (Расчеты)'!$C$21/100 + 'PM (Расчеты)'!$C$25/100 + 
    'PM (Расчеты)'!$C$26/100
  ) + 1
))
</f>
        <v/>
      </c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  <c r="AC278" s="133"/>
      <c r="AD278" s="133"/>
      <c r="AE278" s="133"/>
      <c r="AF278" s="133"/>
    </row>
    <row r="279">
      <c r="A279" s="197"/>
      <c r="B279" s="133"/>
      <c r="C279" s="133"/>
      <c r="D279" s="197"/>
      <c r="E279" s="133"/>
      <c r="F279" s="198"/>
      <c r="G279" s="198"/>
      <c r="H279" s="199" t="str">
        <f>IF(OR(ISBLANK('Оценка'!F279), ISBLANK('Оценка'!G279)), "", 
AVERAGE(
  (
    ('Оценка'!F279 + 4*AVERAGE('Оценка'!F279:G279) + 'Оценка'!G279)/6 - 
    2*(('Оценка'!G279 - 'Оценка'!F279)/6)
  )/5 , 
  (
    ('Оценка'!F279 + 4*AVERAGE('Оценка'!F279:G279) + 'Оценка'!G279)/6 + 
    2*(('Оценка'!G279 - 'Оценка'!F279)/6)
  )/5
) * 
(
  (
    ('PM (Расчеты)'!$C$22/8 + 'PM (Расчеты)'!$C$23/40) + 
    'PM (Расчеты)'!$C$21/100 + 'PM (Расчеты)'!$C$25/100 + 
    'PM (Расчеты)'!$C$26/100
  ) + 1
))
</f>
        <v/>
      </c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  <c r="AC279" s="133"/>
      <c r="AD279" s="133"/>
      <c r="AE279" s="133"/>
      <c r="AF279" s="133"/>
    </row>
    <row r="280">
      <c r="A280" s="197"/>
      <c r="B280" s="133"/>
      <c r="C280" s="133"/>
      <c r="D280" s="197"/>
      <c r="E280" s="133"/>
      <c r="F280" s="198"/>
      <c r="G280" s="198"/>
      <c r="H280" s="199" t="str">
        <f>IF(OR(ISBLANK('Оценка'!F280), ISBLANK('Оценка'!G280)), "", 
AVERAGE(
  (
    ('Оценка'!F280 + 4*AVERAGE('Оценка'!F280:G280) + 'Оценка'!G280)/6 - 
    2*(('Оценка'!G280 - 'Оценка'!F280)/6)
  )/5 , 
  (
    ('Оценка'!F280 + 4*AVERAGE('Оценка'!F280:G280) + 'Оценка'!G280)/6 + 
    2*(('Оценка'!G280 - 'Оценка'!F280)/6)
  )/5
) * 
(
  (
    ('PM (Расчеты)'!$C$22/8 + 'PM (Расчеты)'!$C$23/40) + 
    'PM (Расчеты)'!$C$21/100 + 'PM (Расчеты)'!$C$25/100 + 
    'PM (Расчеты)'!$C$26/100
  ) + 1
))
</f>
        <v/>
      </c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  <c r="AC280" s="133"/>
      <c r="AD280" s="133"/>
      <c r="AE280" s="133"/>
      <c r="AF280" s="133"/>
    </row>
    <row r="281">
      <c r="A281" s="197"/>
      <c r="B281" s="133"/>
      <c r="C281" s="133"/>
      <c r="D281" s="197"/>
      <c r="E281" s="133"/>
      <c r="F281" s="198"/>
      <c r="G281" s="198"/>
      <c r="H281" s="199" t="str">
        <f>IF(OR(ISBLANK('Оценка'!F281), ISBLANK('Оценка'!G281)), "", 
AVERAGE(
  (
    ('Оценка'!F281 + 4*AVERAGE('Оценка'!F281:G281) + 'Оценка'!G281)/6 - 
    2*(('Оценка'!G281 - 'Оценка'!F281)/6)
  )/5 , 
  (
    ('Оценка'!F281 + 4*AVERAGE('Оценка'!F281:G281) + 'Оценка'!G281)/6 + 
    2*(('Оценка'!G281 - 'Оценка'!F281)/6)
  )/5
) * 
(
  (
    ('PM (Расчеты)'!$C$22/8 + 'PM (Расчеты)'!$C$23/40) + 
    'PM (Расчеты)'!$C$21/100 + 'PM (Расчеты)'!$C$25/100 + 
    'PM (Расчеты)'!$C$26/100
  ) + 1
))
</f>
        <v/>
      </c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  <c r="AC281" s="133"/>
      <c r="AD281" s="133"/>
      <c r="AE281" s="133"/>
      <c r="AF281" s="133"/>
    </row>
    <row r="282">
      <c r="A282" s="197"/>
      <c r="B282" s="133"/>
      <c r="C282" s="133"/>
      <c r="D282" s="197"/>
      <c r="E282" s="133"/>
      <c r="F282" s="198"/>
      <c r="G282" s="198"/>
      <c r="H282" s="199" t="str">
        <f>IF(OR(ISBLANK('Оценка'!F282), ISBLANK('Оценка'!G282)), "", 
AVERAGE(
  (
    ('Оценка'!F282 + 4*AVERAGE('Оценка'!F282:G282) + 'Оценка'!G282)/6 - 
    2*(('Оценка'!G282 - 'Оценка'!F282)/6)
  )/5 , 
  (
    ('Оценка'!F282 + 4*AVERAGE('Оценка'!F282:G282) + 'Оценка'!G282)/6 + 
    2*(('Оценка'!G282 - 'Оценка'!F282)/6)
  )/5
) * 
(
  (
    ('PM (Расчеты)'!$C$22/8 + 'PM (Расчеты)'!$C$23/40) + 
    'PM (Расчеты)'!$C$21/100 + 'PM (Расчеты)'!$C$25/100 + 
    'PM (Расчеты)'!$C$26/100
  ) + 1
))
</f>
        <v/>
      </c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3"/>
      <c r="AC282" s="133"/>
      <c r="AD282" s="133"/>
      <c r="AE282" s="133"/>
      <c r="AF282" s="133"/>
    </row>
    <row r="283">
      <c r="A283" s="197"/>
      <c r="B283" s="133"/>
      <c r="C283" s="133"/>
      <c r="D283" s="197"/>
      <c r="E283" s="133"/>
      <c r="F283" s="198"/>
      <c r="G283" s="198"/>
      <c r="H283" s="199" t="str">
        <f>IF(OR(ISBLANK('Оценка'!F283), ISBLANK('Оценка'!G283)), "", 
AVERAGE(
  (
    ('Оценка'!F283 + 4*AVERAGE('Оценка'!F283:G283) + 'Оценка'!G283)/6 - 
    2*(('Оценка'!G283 - 'Оценка'!F283)/6)
  )/5 , 
  (
    ('Оценка'!F283 + 4*AVERAGE('Оценка'!F283:G283) + 'Оценка'!G283)/6 + 
    2*(('Оценка'!G283 - 'Оценка'!F283)/6)
  )/5
) * 
(
  (
    ('PM (Расчеты)'!$C$22/8 + 'PM (Расчеты)'!$C$23/40) + 
    'PM (Расчеты)'!$C$21/100 + 'PM (Расчеты)'!$C$25/100 + 
    'PM (Расчеты)'!$C$26/100
  ) + 1
))
</f>
        <v/>
      </c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  <c r="AC283" s="133"/>
      <c r="AD283" s="133"/>
      <c r="AE283" s="133"/>
      <c r="AF283" s="133"/>
    </row>
    <row r="284">
      <c r="A284" s="197"/>
      <c r="B284" s="133"/>
      <c r="C284" s="133"/>
      <c r="D284" s="197"/>
      <c r="E284" s="133"/>
      <c r="F284" s="198"/>
      <c r="G284" s="198"/>
      <c r="H284" s="199" t="str">
        <f>IF(OR(ISBLANK('Оценка'!F284), ISBLANK('Оценка'!G284)), "", 
AVERAGE(
  (
    ('Оценка'!F284 + 4*AVERAGE('Оценка'!F284:G284) + 'Оценка'!G284)/6 - 
    2*(('Оценка'!G284 - 'Оценка'!F284)/6)
  )/5 , 
  (
    ('Оценка'!F284 + 4*AVERAGE('Оценка'!F284:G284) + 'Оценка'!G284)/6 + 
    2*(('Оценка'!G284 - 'Оценка'!F284)/6)
  )/5
) * 
(
  (
    ('PM (Расчеты)'!$C$22/8 + 'PM (Расчеты)'!$C$23/40) + 
    'PM (Расчеты)'!$C$21/100 + 'PM (Расчеты)'!$C$25/100 + 
    'PM (Расчеты)'!$C$26/100
  ) + 1
))
</f>
        <v/>
      </c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3"/>
      <c r="AC284" s="133"/>
      <c r="AD284" s="133"/>
      <c r="AE284" s="133"/>
      <c r="AF284" s="133"/>
    </row>
    <row r="285">
      <c r="A285" s="197"/>
      <c r="B285" s="133"/>
      <c r="C285" s="133"/>
      <c r="D285" s="197"/>
      <c r="E285" s="133"/>
      <c r="F285" s="198"/>
      <c r="G285" s="198"/>
      <c r="H285" s="199" t="str">
        <f>IF(OR(ISBLANK('Оценка'!F285), ISBLANK('Оценка'!G285)), "", 
AVERAGE(
  (
    ('Оценка'!F285 + 4*AVERAGE('Оценка'!F285:G285) + 'Оценка'!G285)/6 - 
    2*(('Оценка'!G285 - 'Оценка'!F285)/6)
  )/5 , 
  (
    ('Оценка'!F285 + 4*AVERAGE('Оценка'!F285:G285) + 'Оценка'!G285)/6 + 
    2*(('Оценка'!G285 - 'Оценка'!F285)/6)
  )/5
) * 
(
  (
    ('PM (Расчеты)'!$C$22/8 + 'PM (Расчеты)'!$C$23/40) + 
    'PM (Расчеты)'!$C$21/100 + 'PM (Расчеты)'!$C$25/100 + 
    'PM (Расчеты)'!$C$26/100
  ) + 1
))
</f>
        <v/>
      </c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  <c r="AC285" s="133"/>
      <c r="AD285" s="133"/>
      <c r="AE285" s="133"/>
      <c r="AF285" s="133"/>
    </row>
    <row r="286">
      <c r="A286" s="197"/>
      <c r="B286" s="133"/>
      <c r="C286" s="133"/>
      <c r="D286" s="197"/>
      <c r="E286" s="133"/>
      <c r="F286" s="198"/>
      <c r="G286" s="198"/>
      <c r="H286" s="199" t="str">
        <f>IF(OR(ISBLANK('Оценка'!F286), ISBLANK('Оценка'!G286)), "", 
AVERAGE(
  (
    ('Оценка'!F286 + 4*AVERAGE('Оценка'!F286:G286) + 'Оценка'!G286)/6 - 
    2*(('Оценка'!G286 - 'Оценка'!F286)/6)
  )/5 , 
  (
    ('Оценка'!F286 + 4*AVERAGE('Оценка'!F286:G286) + 'Оценка'!G286)/6 + 
    2*(('Оценка'!G286 - 'Оценка'!F286)/6)
  )/5
) * 
(
  (
    ('PM (Расчеты)'!$C$22/8 + 'PM (Расчеты)'!$C$23/40) + 
    'PM (Расчеты)'!$C$21/100 + 'PM (Расчеты)'!$C$25/100 + 
    'PM (Расчеты)'!$C$26/100
  ) + 1
))
</f>
        <v/>
      </c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3"/>
      <c r="AC286" s="133"/>
      <c r="AD286" s="133"/>
      <c r="AE286" s="133"/>
      <c r="AF286" s="133"/>
    </row>
    <row r="287">
      <c r="A287" s="197"/>
      <c r="B287" s="133"/>
      <c r="C287" s="133"/>
      <c r="D287" s="197"/>
      <c r="E287" s="133"/>
      <c r="F287" s="198"/>
      <c r="G287" s="198"/>
      <c r="H287" s="199" t="str">
        <f>IF(OR(ISBLANK('Оценка'!F287), ISBLANK('Оценка'!G287)), "", 
AVERAGE(
  (
    ('Оценка'!F287 + 4*AVERAGE('Оценка'!F287:G287) + 'Оценка'!G287)/6 - 
    2*(('Оценка'!G287 - 'Оценка'!F287)/6)
  )/5 , 
  (
    ('Оценка'!F287 + 4*AVERAGE('Оценка'!F287:G287) + 'Оценка'!G287)/6 + 
    2*(('Оценка'!G287 - 'Оценка'!F287)/6)
  )/5
) * 
(
  (
    ('PM (Расчеты)'!$C$22/8 + 'PM (Расчеты)'!$C$23/40) + 
    'PM (Расчеты)'!$C$21/100 + 'PM (Расчеты)'!$C$25/100 + 
    'PM (Расчеты)'!$C$26/100
  ) + 1
))
</f>
        <v/>
      </c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3"/>
      <c r="AC287" s="133"/>
      <c r="AD287" s="133"/>
      <c r="AE287" s="133"/>
      <c r="AF287" s="133"/>
    </row>
    <row r="288">
      <c r="A288" s="197"/>
      <c r="B288" s="133"/>
      <c r="C288" s="133"/>
      <c r="D288" s="197"/>
      <c r="E288" s="133"/>
      <c r="F288" s="198"/>
      <c r="G288" s="198"/>
      <c r="H288" s="199" t="str">
        <f>IF(OR(ISBLANK('Оценка'!F288), ISBLANK('Оценка'!G288)), "", 
AVERAGE(
  (
    ('Оценка'!F288 + 4*AVERAGE('Оценка'!F288:G288) + 'Оценка'!G288)/6 - 
    2*(('Оценка'!G288 - 'Оценка'!F288)/6)
  )/5 , 
  (
    ('Оценка'!F288 + 4*AVERAGE('Оценка'!F288:G288) + 'Оценка'!G288)/6 + 
    2*(('Оценка'!G288 - 'Оценка'!F288)/6)
  )/5
) * 
(
  (
    ('PM (Расчеты)'!$C$22/8 + 'PM (Расчеты)'!$C$23/40) + 
    'PM (Расчеты)'!$C$21/100 + 'PM (Расчеты)'!$C$25/100 + 
    'PM (Расчеты)'!$C$26/100
  ) + 1
))
</f>
        <v/>
      </c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3"/>
      <c r="AC288" s="133"/>
      <c r="AD288" s="133"/>
      <c r="AE288" s="133"/>
      <c r="AF288" s="133"/>
    </row>
    <row r="289">
      <c r="A289" s="197"/>
      <c r="B289" s="133"/>
      <c r="C289" s="133"/>
      <c r="D289" s="197"/>
      <c r="E289" s="133"/>
      <c r="F289" s="198"/>
      <c r="G289" s="198"/>
      <c r="H289" s="199" t="str">
        <f>IF(OR(ISBLANK('Оценка'!F289), ISBLANK('Оценка'!G289)), "", 
AVERAGE(
  (
    ('Оценка'!F289 + 4*AVERAGE('Оценка'!F289:G289) + 'Оценка'!G289)/6 - 
    2*(('Оценка'!G289 - 'Оценка'!F289)/6)
  )/5 , 
  (
    ('Оценка'!F289 + 4*AVERAGE('Оценка'!F289:G289) + 'Оценка'!G289)/6 + 
    2*(('Оценка'!G289 - 'Оценка'!F289)/6)
  )/5
) * 
(
  (
    ('PM (Расчеты)'!$C$22/8 + 'PM (Расчеты)'!$C$23/40) + 
    'PM (Расчеты)'!$C$21/100 + 'PM (Расчеты)'!$C$25/100 + 
    'PM (Расчеты)'!$C$26/100
  ) + 1
))
</f>
        <v/>
      </c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3"/>
      <c r="AC289" s="133"/>
      <c r="AD289" s="133"/>
      <c r="AE289" s="133"/>
      <c r="AF289" s="133"/>
    </row>
    <row r="290">
      <c r="A290" s="197"/>
      <c r="B290" s="133"/>
      <c r="C290" s="133"/>
      <c r="D290" s="197"/>
      <c r="E290" s="133"/>
      <c r="F290" s="198"/>
      <c r="G290" s="198"/>
      <c r="H290" s="199" t="str">
        <f>IF(OR(ISBLANK('Оценка'!F290), ISBLANK('Оценка'!G290)), "", 
AVERAGE(
  (
    ('Оценка'!F290 + 4*AVERAGE('Оценка'!F290:G290) + 'Оценка'!G290)/6 - 
    2*(('Оценка'!G290 - 'Оценка'!F290)/6)
  )/5 , 
  (
    ('Оценка'!F290 + 4*AVERAGE('Оценка'!F290:G290) + 'Оценка'!G290)/6 + 
    2*(('Оценка'!G290 - 'Оценка'!F290)/6)
  )/5
) * 
(
  (
    ('PM (Расчеты)'!$C$22/8 + 'PM (Расчеты)'!$C$23/40) + 
    'PM (Расчеты)'!$C$21/100 + 'PM (Расчеты)'!$C$25/100 + 
    'PM (Расчеты)'!$C$26/100
  ) + 1
))
</f>
        <v/>
      </c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3"/>
      <c r="AC290" s="133"/>
      <c r="AD290" s="133"/>
      <c r="AE290" s="133"/>
      <c r="AF290" s="133"/>
    </row>
    <row r="291">
      <c r="A291" s="197"/>
      <c r="B291" s="133"/>
      <c r="C291" s="133"/>
      <c r="D291" s="197"/>
      <c r="E291" s="133"/>
      <c r="F291" s="198"/>
      <c r="G291" s="198"/>
      <c r="H291" s="199" t="str">
        <f>IF(OR(ISBLANK('Оценка'!F291), ISBLANK('Оценка'!G291)), "", 
AVERAGE(
  (
    ('Оценка'!F291 + 4*AVERAGE('Оценка'!F291:G291) + 'Оценка'!G291)/6 - 
    2*(('Оценка'!G291 - 'Оценка'!F291)/6)
  )/5 , 
  (
    ('Оценка'!F291 + 4*AVERAGE('Оценка'!F291:G291) + 'Оценка'!G291)/6 + 
    2*(('Оценка'!G291 - 'Оценка'!F291)/6)
  )/5
) * 
(
  (
    ('PM (Расчеты)'!$C$22/8 + 'PM (Расчеты)'!$C$23/40) + 
    'PM (Расчеты)'!$C$21/100 + 'PM (Расчеты)'!$C$25/100 + 
    'PM (Расчеты)'!$C$26/100
  ) + 1
))
</f>
        <v/>
      </c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  <c r="AB291" s="133"/>
      <c r="AC291" s="133"/>
      <c r="AD291" s="133"/>
      <c r="AE291" s="133"/>
      <c r="AF291" s="133"/>
    </row>
    <row r="292">
      <c r="A292" s="197"/>
      <c r="B292" s="133"/>
      <c r="C292" s="133"/>
      <c r="D292" s="197"/>
      <c r="E292" s="133"/>
      <c r="F292" s="198"/>
      <c r="G292" s="198"/>
      <c r="H292" s="199" t="str">
        <f>IF(OR(ISBLANK('Оценка'!F292), ISBLANK('Оценка'!G292)), "", 
AVERAGE(
  (
    ('Оценка'!F292 + 4*AVERAGE('Оценка'!F292:G292) + 'Оценка'!G292)/6 - 
    2*(('Оценка'!G292 - 'Оценка'!F292)/6)
  )/5 , 
  (
    ('Оценка'!F292 + 4*AVERAGE('Оценка'!F292:G292) + 'Оценка'!G292)/6 + 
    2*(('Оценка'!G292 - 'Оценка'!F292)/6)
  )/5
) * 
(
  (
    ('PM (Расчеты)'!$C$22/8 + 'PM (Расчеты)'!$C$23/40) + 
    'PM (Расчеты)'!$C$21/100 + 'PM (Расчеты)'!$C$25/100 + 
    'PM (Расчеты)'!$C$26/100
  ) + 1
))
</f>
        <v/>
      </c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  <c r="AB292" s="133"/>
      <c r="AC292" s="133"/>
      <c r="AD292" s="133"/>
      <c r="AE292" s="133"/>
      <c r="AF292" s="133"/>
    </row>
    <row r="293">
      <c r="A293" s="197"/>
      <c r="B293" s="133"/>
      <c r="C293" s="133"/>
      <c r="D293" s="197"/>
      <c r="E293" s="133"/>
      <c r="F293" s="198"/>
      <c r="G293" s="198"/>
      <c r="H293" s="199" t="str">
        <f>IF(OR(ISBLANK('Оценка'!F293), ISBLANK('Оценка'!G293)), "", 
AVERAGE(
  (
    ('Оценка'!F293 + 4*AVERAGE('Оценка'!F293:G293) + 'Оценка'!G293)/6 - 
    2*(('Оценка'!G293 - 'Оценка'!F293)/6)
  )/5 , 
  (
    ('Оценка'!F293 + 4*AVERAGE('Оценка'!F293:G293) + 'Оценка'!G293)/6 + 
    2*(('Оценка'!G293 - 'Оценка'!F293)/6)
  )/5
) * 
(
  (
    ('PM (Расчеты)'!$C$22/8 + 'PM (Расчеты)'!$C$23/40) + 
    'PM (Расчеты)'!$C$21/100 + 'PM (Расчеты)'!$C$25/100 + 
    'PM (Расчеты)'!$C$26/100
  ) + 1
))
</f>
        <v/>
      </c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3"/>
      <c r="AC293" s="133"/>
      <c r="AD293" s="133"/>
      <c r="AE293" s="133"/>
      <c r="AF293" s="133"/>
    </row>
    <row r="294">
      <c r="A294" s="197"/>
      <c r="B294" s="133"/>
      <c r="C294" s="133"/>
      <c r="D294" s="197"/>
      <c r="E294" s="133"/>
      <c r="F294" s="198"/>
      <c r="G294" s="198"/>
      <c r="H294" s="199" t="str">
        <f>IF(OR(ISBLANK('Оценка'!F294), ISBLANK('Оценка'!G294)), "", 
AVERAGE(
  (
    ('Оценка'!F294 + 4*AVERAGE('Оценка'!F294:G294) + 'Оценка'!G294)/6 - 
    2*(('Оценка'!G294 - 'Оценка'!F294)/6)
  )/5 , 
  (
    ('Оценка'!F294 + 4*AVERAGE('Оценка'!F294:G294) + 'Оценка'!G294)/6 + 
    2*(('Оценка'!G294 - 'Оценка'!F294)/6)
  )/5
) * 
(
  (
    ('PM (Расчеты)'!$C$22/8 + 'PM (Расчеты)'!$C$23/40) + 
    'PM (Расчеты)'!$C$21/100 + 'PM (Расчеты)'!$C$25/100 + 
    'PM (Расчеты)'!$C$26/100
  ) + 1
))
</f>
        <v/>
      </c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  <c r="AC294" s="133"/>
      <c r="AD294" s="133"/>
      <c r="AE294" s="133"/>
      <c r="AF294" s="133"/>
    </row>
    <row r="295">
      <c r="A295" s="197"/>
      <c r="B295" s="133"/>
      <c r="C295" s="133"/>
      <c r="D295" s="197"/>
      <c r="E295" s="133"/>
      <c r="F295" s="198"/>
      <c r="G295" s="198"/>
      <c r="H295" s="199" t="str">
        <f>IF(OR(ISBLANK('Оценка'!F295), ISBLANK('Оценка'!G295)), "", 
AVERAGE(
  (
    ('Оценка'!F295 + 4*AVERAGE('Оценка'!F295:G295) + 'Оценка'!G295)/6 - 
    2*(('Оценка'!G295 - 'Оценка'!F295)/6)
  )/5 , 
  (
    ('Оценка'!F295 + 4*AVERAGE('Оценка'!F295:G295) + 'Оценка'!G295)/6 + 
    2*(('Оценка'!G295 - 'Оценка'!F295)/6)
  )/5
) * 
(
  (
    ('PM (Расчеты)'!$C$22/8 + 'PM (Расчеты)'!$C$23/40) + 
    'PM (Расчеты)'!$C$21/100 + 'PM (Расчеты)'!$C$25/100 + 
    'PM (Расчеты)'!$C$26/100
  ) + 1
))
</f>
        <v/>
      </c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  <c r="AC295" s="133"/>
      <c r="AD295" s="133"/>
      <c r="AE295" s="133"/>
      <c r="AF295" s="133"/>
    </row>
    <row r="296">
      <c r="A296" s="197"/>
      <c r="B296" s="133"/>
      <c r="C296" s="133"/>
      <c r="D296" s="197"/>
      <c r="E296" s="133"/>
      <c r="F296" s="198"/>
      <c r="G296" s="198"/>
      <c r="H296" s="199" t="str">
        <f>IF(OR(ISBLANK('Оценка'!F296), ISBLANK('Оценка'!G296)), "", 
AVERAGE(
  (
    ('Оценка'!F296 + 4*AVERAGE('Оценка'!F296:G296) + 'Оценка'!G296)/6 - 
    2*(('Оценка'!G296 - 'Оценка'!F296)/6)
  )/5 , 
  (
    ('Оценка'!F296 + 4*AVERAGE('Оценка'!F296:G296) + 'Оценка'!G296)/6 + 
    2*(('Оценка'!G296 - 'Оценка'!F296)/6)
  )/5
) * 
(
  (
    ('PM (Расчеты)'!$C$22/8 + 'PM (Расчеты)'!$C$23/40) + 
    'PM (Расчеты)'!$C$21/100 + 'PM (Расчеты)'!$C$25/100 + 
    'PM (Расчеты)'!$C$26/100
  ) + 1
))
</f>
        <v/>
      </c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  <c r="AC296" s="133"/>
      <c r="AD296" s="133"/>
      <c r="AE296" s="133"/>
      <c r="AF296" s="133"/>
    </row>
    <row r="297">
      <c r="A297" s="197"/>
      <c r="B297" s="133"/>
      <c r="C297" s="133"/>
      <c r="D297" s="197"/>
      <c r="E297" s="133"/>
      <c r="F297" s="198"/>
      <c r="G297" s="198"/>
      <c r="H297" s="199" t="str">
        <f>IF(OR(ISBLANK('Оценка'!F297), ISBLANK('Оценка'!G297)), "", 
AVERAGE(
  (
    ('Оценка'!F297 + 4*AVERAGE('Оценка'!F297:G297) + 'Оценка'!G297)/6 - 
    2*(('Оценка'!G297 - 'Оценка'!F297)/6)
  )/5 , 
  (
    ('Оценка'!F297 + 4*AVERAGE('Оценка'!F297:G297) + 'Оценка'!G297)/6 + 
    2*(('Оценка'!G297 - 'Оценка'!F297)/6)
  )/5
) * 
(
  (
    ('PM (Расчеты)'!$C$22/8 + 'PM (Расчеты)'!$C$23/40) + 
    'PM (Расчеты)'!$C$21/100 + 'PM (Расчеты)'!$C$25/100 + 
    'PM (Расчеты)'!$C$26/100
  ) + 1
))
</f>
        <v/>
      </c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  <c r="AC297" s="133"/>
      <c r="AD297" s="133"/>
      <c r="AE297" s="133"/>
      <c r="AF297" s="133"/>
    </row>
    <row r="298">
      <c r="A298" s="197"/>
      <c r="B298" s="133"/>
      <c r="C298" s="133"/>
      <c r="D298" s="197"/>
      <c r="E298" s="133"/>
      <c r="F298" s="198"/>
      <c r="G298" s="198"/>
      <c r="H298" s="199" t="str">
        <f>IF(OR(ISBLANK('Оценка'!F298), ISBLANK('Оценка'!G298)), "", 
AVERAGE(
  (
    ('Оценка'!F298 + 4*AVERAGE('Оценка'!F298:G298) + 'Оценка'!G298)/6 - 
    2*(('Оценка'!G298 - 'Оценка'!F298)/6)
  )/5 , 
  (
    ('Оценка'!F298 + 4*AVERAGE('Оценка'!F298:G298) + 'Оценка'!G298)/6 + 
    2*(('Оценка'!G298 - 'Оценка'!F298)/6)
  )/5
) * 
(
  (
    ('PM (Расчеты)'!$C$22/8 + 'PM (Расчеты)'!$C$23/40) + 
    'PM (Расчеты)'!$C$21/100 + 'PM (Расчеты)'!$C$25/100 + 
    'PM (Расчеты)'!$C$26/100
  ) + 1
))
</f>
        <v/>
      </c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3"/>
      <c r="AC298" s="133"/>
      <c r="AD298" s="133"/>
      <c r="AE298" s="133"/>
      <c r="AF298" s="133"/>
    </row>
    <row r="299">
      <c r="A299" s="197"/>
      <c r="B299" s="133"/>
      <c r="C299" s="133"/>
      <c r="D299" s="197"/>
      <c r="E299" s="133"/>
      <c r="F299" s="198"/>
      <c r="G299" s="198"/>
      <c r="H299" s="199" t="str">
        <f>IF(OR(ISBLANK('Оценка'!F299), ISBLANK('Оценка'!G299)), "", 
AVERAGE(
  (
    ('Оценка'!F299 + 4*AVERAGE('Оценка'!F299:G299) + 'Оценка'!G299)/6 - 
    2*(('Оценка'!G299 - 'Оценка'!F299)/6)
  )/5 , 
  (
    ('Оценка'!F299 + 4*AVERAGE('Оценка'!F299:G299) + 'Оценка'!G299)/6 + 
    2*(('Оценка'!G299 - 'Оценка'!F299)/6)
  )/5
) * 
(
  (
    ('PM (Расчеты)'!$C$22/8 + 'PM (Расчеты)'!$C$23/40) + 
    'PM (Расчеты)'!$C$21/100 + 'PM (Расчеты)'!$C$25/100 + 
    'PM (Расчеты)'!$C$26/100
  ) + 1
))
</f>
        <v/>
      </c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3"/>
      <c r="AC299" s="133"/>
      <c r="AD299" s="133"/>
      <c r="AE299" s="133"/>
      <c r="AF299" s="133"/>
    </row>
    <row r="300">
      <c r="A300" s="197"/>
      <c r="B300" s="133"/>
      <c r="C300" s="133"/>
      <c r="D300" s="197"/>
      <c r="E300" s="133"/>
      <c r="F300" s="198"/>
      <c r="G300" s="198"/>
      <c r="H300" s="199" t="str">
        <f>IF(OR(ISBLANK('Оценка'!F300), ISBLANK('Оценка'!G300)), "", 
AVERAGE(
  (
    ('Оценка'!F300 + 4*AVERAGE('Оценка'!F300:G300) + 'Оценка'!G300)/6 - 
    2*(('Оценка'!G300 - 'Оценка'!F300)/6)
  )/5 , 
  (
    ('Оценка'!F300 + 4*AVERAGE('Оценка'!F300:G300) + 'Оценка'!G300)/6 + 
    2*(('Оценка'!G300 - 'Оценка'!F300)/6)
  )/5
) * 
(
  (
    ('PM (Расчеты)'!$C$22/8 + 'PM (Расчеты)'!$C$23/40) + 
    'PM (Расчеты)'!$C$21/100 + 'PM (Расчеты)'!$C$25/100 + 
    'PM (Расчеты)'!$C$26/100
  ) + 1
))
</f>
        <v/>
      </c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3"/>
      <c r="AC300" s="133"/>
      <c r="AD300" s="133"/>
      <c r="AE300" s="133"/>
      <c r="AF300" s="133"/>
    </row>
    <row r="301">
      <c r="A301" s="197"/>
      <c r="B301" s="133"/>
      <c r="C301" s="133"/>
      <c r="D301" s="197"/>
      <c r="E301" s="133"/>
      <c r="F301" s="198"/>
      <c r="G301" s="198"/>
      <c r="H301" s="199" t="str">
        <f>IF(OR(ISBLANK('Оценка'!F301), ISBLANK('Оценка'!G301)), "", 
AVERAGE(
  (
    ('Оценка'!F301 + 4*AVERAGE('Оценка'!F301:G301) + 'Оценка'!G301)/6 - 
    2*(('Оценка'!G301 - 'Оценка'!F301)/6)
  )/5 , 
  (
    ('Оценка'!F301 + 4*AVERAGE('Оценка'!F301:G301) + 'Оценка'!G301)/6 + 
    2*(('Оценка'!G301 - 'Оценка'!F301)/6)
  )/5
) * 
(
  (
    ('PM (Расчеты)'!$C$22/8 + 'PM (Расчеты)'!$C$23/40) + 
    'PM (Расчеты)'!$C$21/100 + 'PM (Расчеты)'!$C$25/100 + 
    'PM (Расчеты)'!$C$26/100
  ) + 1
))
</f>
        <v/>
      </c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  <c r="AC301" s="133"/>
      <c r="AD301" s="133"/>
      <c r="AE301" s="133"/>
      <c r="AF301" s="133"/>
    </row>
    <row r="302">
      <c r="A302" s="197"/>
      <c r="B302" s="133"/>
      <c r="C302" s="133"/>
      <c r="D302" s="197"/>
      <c r="E302" s="133"/>
      <c r="F302" s="198"/>
      <c r="G302" s="198"/>
      <c r="H302" s="199" t="str">
        <f>IF(OR(ISBLANK('Оценка'!F302), ISBLANK('Оценка'!G302)), "", 
AVERAGE(
  (
    ('Оценка'!F302 + 4*AVERAGE('Оценка'!F302:G302) + 'Оценка'!G302)/6 - 
    2*(('Оценка'!G302 - 'Оценка'!F302)/6)
  )/5 , 
  (
    ('Оценка'!F302 + 4*AVERAGE('Оценка'!F302:G302) + 'Оценка'!G302)/6 + 
    2*(('Оценка'!G302 - 'Оценка'!F302)/6)
  )/5
) * 
(
  (
    ('PM (Расчеты)'!$C$22/8 + 'PM (Расчеты)'!$C$23/40) + 
    'PM (Расчеты)'!$C$21/100 + 'PM (Расчеты)'!$C$25/100 + 
    'PM (Расчеты)'!$C$26/100
  ) + 1
))
</f>
        <v/>
      </c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  <c r="AC302" s="133"/>
      <c r="AD302" s="133"/>
      <c r="AE302" s="133"/>
      <c r="AF302" s="133"/>
    </row>
    <row r="303">
      <c r="A303" s="197"/>
      <c r="B303" s="133"/>
      <c r="C303" s="133"/>
      <c r="D303" s="197"/>
      <c r="E303" s="133"/>
      <c r="F303" s="198"/>
      <c r="G303" s="198"/>
      <c r="H303" s="199" t="str">
        <f>IF(OR(ISBLANK('Оценка'!F303), ISBLANK('Оценка'!G303)), "", 
AVERAGE(
  (
    ('Оценка'!F303 + 4*AVERAGE('Оценка'!F303:G303) + 'Оценка'!G303)/6 - 
    2*(('Оценка'!G303 - 'Оценка'!F303)/6)
  )/5 , 
  (
    ('Оценка'!F303 + 4*AVERAGE('Оценка'!F303:G303) + 'Оценка'!G303)/6 + 
    2*(('Оценка'!G303 - 'Оценка'!F303)/6)
  )/5
) * 
(
  (
    ('PM (Расчеты)'!$C$22/8 + 'PM (Расчеты)'!$C$23/40) + 
    'PM (Расчеты)'!$C$21/100 + 'PM (Расчеты)'!$C$25/100 + 
    'PM (Расчеты)'!$C$26/100
  ) + 1
))
</f>
        <v/>
      </c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  <c r="AB303" s="133"/>
      <c r="AC303" s="133"/>
      <c r="AD303" s="133"/>
      <c r="AE303" s="133"/>
      <c r="AF303" s="133"/>
    </row>
    <row r="304">
      <c r="A304" s="197"/>
      <c r="B304" s="133"/>
      <c r="C304" s="133"/>
      <c r="D304" s="197"/>
      <c r="E304" s="133"/>
      <c r="F304" s="198"/>
      <c r="G304" s="198"/>
      <c r="H304" s="199" t="str">
        <f>IF(OR(ISBLANK('Оценка'!F304), ISBLANK('Оценка'!G304)), "", 
AVERAGE(
  (
    ('Оценка'!F304 + 4*AVERAGE('Оценка'!F304:G304) + 'Оценка'!G304)/6 - 
    2*(('Оценка'!G304 - 'Оценка'!F304)/6)
  )/5 , 
  (
    ('Оценка'!F304 + 4*AVERAGE('Оценка'!F304:G304) + 'Оценка'!G304)/6 + 
    2*(('Оценка'!G304 - 'Оценка'!F304)/6)
  )/5
) * 
(
  (
    ('PM (Расчеты)'!$C$22/8 + 'PM (Расчеты)'!$C$23/40) + 
    'PM (Расчеты)'!$C$21/100 + 'PM (Расчеты)'!$C$25/100 + 
    'PM (Расчеты)'!$C$26/100
  ) + 1
))
</f>
        <v/>
      </c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  <c r="AC304" s="133"/>
      <c r="AD304" s="133"/>
      <c r="AE304" s="133"/>
      <c r="AF304" s="133"/>
    </row>
    <row r="305">
      <c r="A305" s="197"/>
      <c r="B305" s="133"/>
      <c r="C305" s="133"/>
      <c r="D305" s="197"/>
      <c r="E305" s="133"/>
      <c r="F305" s="198"/>
      <c r="G305" s="198"/>
      <c r="H305" s="199" t="str">
        <f>IF(OR(ISBLANK('Оценка'!F305), ISBLANK('Оценка'!G305)), "", 
AVERAGE(
  (
    ('Оценка'!F305 + 4*AVERAGE('Оценка'!F305:G305) + 'Оценка'!G305)/6 - 
    2*(('Оценка'!G305 - 'Оценка'!F305)/6)
  )/5 , 
  (
    ('Оценка'!F305 + 4*AVERAGE('Оценка'!F305:G305) + 'Оценка'!G305)/6 + 
    2*(('Оценка'!G305 - 'Оценка'!F305)/6)
  )/5
) * 
(
  (
    ('PM (Расчеты)'!$C$22/8 + 'PM (Расчеты)'!$C$23/40) + 
    'PM (Расчеты)'!$C$21/100 + 'PM (Расчеты)'!$C$25/100 + 
    'PM (Расчеты)'!$C$26/100
  ) + 1
))
</f>
        <v/>
      </c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  <c r="AC305" s="133"/>
      <c r="AD305" s="133"/>
      <c r="AE305" s="133"/>
      <c r="AF305" s="133"/>
    </row>
    <row r="306">
      <c r="A306" s="197"/>
      <c r="B306" s="133"/>
      <c r="C306" s="133"/>
      <c r="D306" s="197"/>
      <c r="E306" s="133"/>
      <c r="F306" s="198"/>
      <c r="G306" s="198"/>
      <c r="H306" s="199" t="str">
        <f>IF(OR(ISBLANK('Оценка'!F306), ISBLANK('Оценка'!G306)), "", 
AVERAGE(
  (
    ('Оценка'!F306 + 4*AVERAGE('Оценка'!F306:G306) + 'Оценка'!G306)/6 - 
    2*(('Оценка'!G306 - 'Оценка'!F306)/6)
  )/5 , 
  (
    ('Оценка'!F306 + 4*AVERAGE('Оценка'!F306:G306) + 'Оценка'!G306)/6 + 
    2*(('Оценка'!G306 - 'Оценка'!F306)/6)
  )/5
) * 
(
  (
    ('PM (Расчеты)'!$C$22/8 + 'PM (Расчеты)'!$C$23/40) + 
    'PM (Расчеты)'!$C$21/100 + 'PM (Расчеты)'!$C$25/100 + 
    'PM (Расчеты)'!$C$26/100
  ) + 1
))
</f>
        <v/>
      </c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  <c r="AB306" s="133"/>
      <c r="AC306" s="133"/>
      <c r="AD306" s="133"/>
      <c r="AE306" s="133"/>
      <c r="AF306" s="133"/>
    </row>
    <row r="307">
      <c r="A307" s="197"/>
      <c r="B307" s="133"/>
      <c r="C307" s="133"/>
      <c r="D307" s="197"/>
      <c r="E307" s="133"/>
      <c r="F307" s="198"/>
      <c r="G307" s="198"/>
      <c r="H307" s="199" t="str">
        <f>IF(OR(ISBLANK('Оценка'!F307), ISBLANK('Оценка'!G307)), "", 
AVERAGE(
  (
    ('Оценка'!F307 + 4*AVERAGE('Оценка'!F307:G307) + 'Оценка'!G307)/6 - 
    2*(('Оценка'!G307 - 'Оценка'!F307)/6)
  )/5 , 
  (
    ('Оценка'!F307 + 4*AVERAGE('Оценка'!F307:G307) + 'Оценка'!G307)/6 + 
    2*(('Оценка'!G307 - 'Оценка'!F307)/6)
  )/5
) * 
(
  (
    ('PM (Расчеты)'!$C$22/8 + 'PM (Расчеты)'!$C$23/40) + 
    'PM (Расчеты)'!$C$21/100 + 'PM (Расчеты)'!$C$25/100 + 
    'PM (Расчеты)'!$C$26/100
  ) + 1
))
</f>
        <v/>
      </c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  <c r="AB307" s="133"/>
      <c r="AC307" s="133"/>
      <c r="AD307" s="133"/>
      <c r="AE307" s="133"/>
      <c r="AF307" s="133"/>
    </row>
    <row r="308">
      <c r="A308" s="197"/>
      <c r="B308" s="133"/>
      <c r="C308" s="133"/>
      <c r="D308" s="197"/>
      <c r="E308" s="133"/>
      <c r="F308" s="198"/>
      <c r="G308" s="198"/>
      <c r="H308" s="199" t="str">
        <f>IF(OR(ISBLANK('Оценка'!F308), ISBLANK('Оценка'!G308)), "", 
AVERAGE(
  (
    ('Оценка'!F308 + 4*AVERAGE('Оценка'!F308:G308) + 'Оценка'!G308)/6 - 
    2*(('Оценка'!G308 - 'Оценка'!F308)/6)
  )/5 , 
  (
    ('Оценка'!F308 + 4*AVERAGE('Оценка'!F308:G308) + 'Оценка'!G308)/6 + 
    2*(('Оценка'!G308 - 'Оценка'!F308)/6)
  )/5
) * 
(
  (
    ('PM (Расчеты)'!$C$22/8 + 'PM (Расчеты)'!$C$23/40) + 
    'PM (Расчеты)'!$C$21/100 + 'PM (Расчеты)'!$C$25/100 + 
    'PM (Расчеты)'!$C$26/100
  ) + 1
))
</f>
        <v/>
      </c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  <c r="AB308" s="133"/>
      <c r="AC308" s="133"/>
      <c r="AD308" s="133"/>
      <c r="AE308" s="133"/>
      <c r="AF308" s="133"/>
    </row>
    <row r="309">
      <c r="A309" s="197"/>
      <c r="B309" s="133"/>
      <c r="C309" s="133"/>
      <c r="D309" s="197"/>
      <c r="E309" s="133"/>
      <c r="F309" s="198"/>
      <c r="G309" s="198"/>
      <c r="H309" s="199" t="str">
        <f>IF(OR(ISBLANK('Оценка'!F309), ISBLANK('Оценка'!G309)), "", 
AVERAGE(
  (
    ('Оценка'!F309 + 4*AVERAGE('Оценка'!F309:G309) + 'Оценка'!G309)/6 - 
    2*(('Оценка'!G309 - 'Оценка'!F309)/6)
  )/5 , 
  (
    ('Оценка'!F309 + 4*AVERAGE('Оценка'!F309:G309) + 'Оценка'!G309)/6 + 
    2*(('Оценка'!G309 - 'Оценка'!F309)/6)
  )/5
) * 
(
  (
    ('PM (Расчеты)'!$C$22/8 + 'PM (Расчеты)'!$C$23/40) + 
    'PM (Расчеты)'!$C$21/100 + 'PM (Расчеты)'!$C$25/100 + 
    'PM (Расчеты)'!$C$26/100
  ) + 1
))
</f>
        <v/>
      </c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  <c r="AC309" s="133"/>
      <c r="AD309" s="133"/>
      <c r="AE309" s="133"/>
      <c r="AF309" s="133"/>
    </row>
    <row r="310">
      <c r="A310" s="197"/>
      <c r="B310" s="133"/>
      <c r="C310" s="133"/>
      <c r="D310" s="197"/>
      <c r="E310" s="133"/>
      <c r="F310" s="198"/>
      <c r="G310" s="198"/>
      <c r="H310" s="199" t="str">
        <f>IF(OR(ISBLANK('Оценка'!F310), ISBLANK('Оценка'!G310)), "", 
AVERAGE(
  (
    ('Оценка'!F310 + 4*AVERAGE('Оценка'!F310:G310) + 'Оценка'!G310)/6 - 
    2*(('Оценка'!G310 - 'Оценка'!F310)/6)
  )/5 , 
  (
    ('Оценка'!F310 + 4*AVERAGE('Оценка'!F310:G310) + 'Оценка'!G310)/6 + 
    2*(('Оценка'!G310 - 'Оценка'!F310)/6)
  )/5
) * 
(
  (
    ('PM (Расчеты)'!$C$22/8 + 'PM (Расчеты)'!$C$23/40) + 
    'PM (Расчеты)'!$C$21/100 + 'PM (Расчеты)'!$C$25/100 + 
    'PM (Расчеты)'!$C$26/100
  ) + 1
))
</f>
        <v/>
      </c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  <c r="AB310" s="133"/>
      <c r="AC310" s="133"/>
      <c r="AD310" s="133"/>
      <c r="AE310" s="133"/>
      <c r="AF310" s="133"/>
    </row>
    <row r="311">
      <c r="A311" s="197"/>
      <c r="B311" s="133"/>
      <c r="C311" s="133"/>
      <c r="D311" s="197"/>
      <c r="E311" s="133"/>
      <c r="F311" s="198"/>
      <c r="G311" s="198"/>
      <c r="H311" s="199" t="str">
        <f>IF(OR(ISBLANK('Оценка'!F311), ISBLANK('Оценка'!G311)), "", 
AVERAGE(
  (
    ('Оценка'!F311 + 4*AVERAGE('Оценка'!F311:G311) + 'Оценка'!G311)/6 - 
    2*(('Оценка'!G311 - 'Оценка'!F311)/6)
  )/5 , 
  (
    ('Оценка'!F311 + 4*AVERAGE('Оценка'!F311:G311) + 'Оценка'!G311)/6 + 
    2*(('Оценка'!G311 - 'Оценка'!F311)/6)
  )/5
) * 
(
  (
    ('PM (Расчеты)'!$C$22/8 + 'PM (Расчеты)'!$C$23/40) + 
    'PM (Расчеты)'!$C$21/100 + 'PM (Расчеты)'!$C$25/100 + 
    'PM (Расчеты)'!$C$26/100
  ) + 1
))
</f>
        <v/>
      </c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  <c r="AC311" s="133"/>
      <c r="AD311" s="133"/>
      <c r="AE311" s="133"/>
      <c r="AF311" s="133"/>
    </row>
    <row r="312">
      <c r="A312" s="197"/>
      <c r="B312" s="133"/>
      <c r="C312" s="133"/>
      <c r="D312" s="197"/>
      <c r="E312" s="133"/>
      <c r="F312" s="198"/>
      <c r="G312" s="198"/>
      <c r="H312" s="199" t="str">
        <f>IF(OR(ISBLANK('Оценка'!F312), ISBLANK('Оценка'!G312)), "", 
AVERAGE(
  (
    ('Оценка'!F312 + 4*AVERAGE('Оценка'!F312:G312) + 'Оценка'!G312)/6 - 
    2*(('Оценка'!G312 - 'Оценка'!F312)/6)
  )/5 , 
  (
    ('Оценка'!F312 + 4*AVERAGE('Оценка'!F312:G312) + 'Оценка'!G312)/6 + 
    2*(('Оценка'!G312 - 'Оценка'!F312)/6)
  )/5
) * 
(
  (
    ('PM (Расчеты)'!$C$22/8 + 'PM (Расчеты)'!$C$23/40) + 
    'PM (Расчеты)'!$C$21/100 + 'PM (Расчеты)'!$C$25/100 + 
    'PM (Расчеты)'!$C$26/100
  ) + 1
))
</f>
        <v/>
      </c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  <c r="AC312" s="133"/>
      <c r="AD312" s="133"/>
      <c r="AE312" s="133"/>
      <c r="AF312" s="133"/>
    </row>
    <row r="313">
      <c r="A313" s="197"/>
      <c r="B313" s="133"/>
      <c r="C313" s="133"/>
      <c r="D313" s="197"/>
      <c r="E313" s="133"/>
      <c r="F313" s="198"/>
      <c r="G313" s="198"/>
      <c r="H313" s="199" t="str">
        <f>IF(OR(ISBLANK('Оценка'!F313), ISBLANK('Оценка'!G313)), "", 
AVERAGE(
  (
    ('Оценка'!F313 + 4*AVERAGE('Оценка'!F313:G313) + 'Оценка'!G313)/6 - 
    2*(('Оценка'!G313 - 'Оценка'!F313)/6)
  )/5 , 
  (
    ('Оценка'!F313 + 4*AVERAGE('Оценка'!F313:G313) + 'Оценка'!G313)/6 + 
    2*(('Оценка'!G313 - 'Оценка'!F313)/6)
  )/5
) * 
(
  (
    ('PM (Расчеты)'!$C$22/8 + 'PM (Расчеты)'!$C$23/40) + 
    'PM (Расчеты)'!$C$21/100 + 'PM (Расчеты)'!$C$25/100 + 
    'PM (Расчеты)'!$C$26/100
  ) + 1
))
</f>
        <v/>
      </c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3"/>
      <c r="AC313" s="133"/>
      <c r="AD313" s="133"/>
      <c r="AE313" s="133"/>
      <c r="AF313" s="133"/>
    </row>
    <row r="314">
      <c r="A314" s="197"/>
      <c r="B314" s="133"/>
      <c r="C314" s="133"/>
      <c r="D314" s="197"/>
      <c r="E314" s="133"/>
      <c r="F314" s="198"/>
      <c r="G314" s="198"/>
      <c r="H314" s="199" t="str">
        <f>IF(OR(ISBLANK('Оценка'!F314), ISBLANK('Оценка'!G314)), "", 
AVERAGE(
  (
    ('Оценка'!F314 + 4*AVERAGE('Оценка'!F314:G314) + 'Оценка'!G314)/6 - 
    2*(('Оценка'!G314 - 'Оценка'!F314)/6)
  )/5 , 
  (
    ('Оценка'!F314 + 4*AVERAGE('Оценка'!F314:G314) + 'Оценка'!G314)/6 + 
    2*(('Оценка'!G314 - 'Оценка'!F314)/6)
  )/5
) * 
(
  (
    ('PM (Расчеты)'!$C$22/8 + 'PM (Расчеты)'!$C$23/40) + 
    'PM (Расчеты)'!$C$21/100 + 'PM (Расчеты)'!$C$25/100 + 
    'PM (Расчеты)'!$C$26/100
  ) + 1
))
</f>
        <v/>
      </c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  <c r="AC314" s="133"/>
      <c r="AD314" s="133"/>
      <c r="AE314" s="133"/>
      <c r="AF314" s="133"/>
    </row>
    <row r="315">
      <c r="A315" s="197"/>
      <c r="B315" s="133"/>
      <c r="C315" s="133"/>
      <c r="D315" s="197"/>
      <c r="E315" s="133"/>
      <c r="F315" s="198"/>
      <c r="G315" s="198"/>
      <c r="H315" s="199" t="str">
        <f>IF(OR(ISBLANK('Оценка'!F315), ISBLANK('Оценка'!G315)), "", 
AVERAGE(
  (
    ('Оценка'!F315 + 4*AVERAGE('Оценка'!F315:G315) + 'Оценка'!G315)/6 - 
    2*(('Оценка'!G315 - 'Оценка'!F315)/6)
  )/5 , 
  (
    ('Оценка'!F315 + 4*AVERAGE('Оценка'!F315:G315) + 'Оценка'!G315)/6 + 
    2*(('Оценка'!G315 - 'Оценка'!F315)/6)
  )/5
) * 
(
  (
    ('PM (Расчеты)'!$C$22/8 + 'PM (Расчеты)'!$C$23/40) + 
    'PM (Расчеты)'!$C$21/100 + 'PM (Расчеты)'!$C$25/100 + 
    'PM (Расчеты)'!$C$26/100
  ) + 1
))
</f>
        <v/>
      </c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  <c r="AC315" s="133"/>
      <c r="AD315" s="133"/>
      <c r="AE315" s="133"/>
      <c r="AF315" s="133"/>
    </row>
    <row r="316">
      <c r="A316" s="197"/>
      <c r="B316" s="133"/>
      <c r="C316" s="133"/>
      <c r="D316" s="197"/>
      <c r="E316" s="133"/>
      <c r="F316" s="198"/>
      <c r="G316" s="198"/>
      <c r="H316" s="199" t="str">
        <f>IF(OR(ISBLANK('Оценка'!F316), ISBLANK('Оценка'!G316)), "", 
AVERAGE(
  (
    ('Оценка'!F316 + 4*AVERAGE('Оценка'!F316:G316) + 'Оценка'!G316)/6 - 
    2*(('Оценка'!G316 - 'Оценка'!F316)/6)
  )/5 , 
  (
    ('Оценка'!F316 + 4*AVERAGE('Оценка'!F316:G316) + 'Оценка'!G316)/6 + 
    2*(('Оценка'!G316 - 'Оценка'!F316)/6)
  )/5
) * 
(
  (
    ('PM (Расчеты)'!$C$22/8 + 'PM (Расчеты)'!$C$23/40) + 
    'PM (Расчеты)'!$C$21/100 + 'PM (Расчеты)'!$C$25/100 + 
    'PM (Расчеты)'!$C$26/100
  ) + 1
))
</f>
        <v/>
      </c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  <c r="AC316" s="133"/>
      <c r="AD316" s="133"/>
      <c r="AE316" s="133"/>
      <c r="AF316" s="133"/>
    </row>
    <row r="317">
      <c r="A317" s="197"/>
      <c r="B317" s="133"/>
      <c r="C317" s="133"/>
      <c r="D317" s="197"/>
      <c r="E317" s="133"/>
      <c r="F317" s="198"/>
      <c r="G317" s="198"/>
      <c r="H317" s="199" t="str">
        <f>IF(OR(ISBLANK('Оценка'!F317), ISBLANK('Оценка'!G317)), "", 
AVERAGE(
  (
    ('Оценка'!F317 + 4*AVERAGE('Оценка'!F317:G317) + 'Оценка'!G317)/6 - 
    2*(('Оценка'!G317 - 'Оценка'!F317)/6)
  )/5 , 
  (
    ('Оценка'!F317 + 4*AVERAGE('Оценка'!F317:G317) + 'Оценка'!G317)/6 + 
    2*(('Оценка'!G317 - 'Оценка'!F317)/6)
  )/5
) * 
(
  (
    ('PM (Расчеты)'!$C$22/8 + 'PM (Расчеты)'!$C$23/40) + 
    'PM (Расчеты)'!$C$21/100 + 'PM (Расчеты)'!$C$25/100 + 
    'PM (Расчеты)'!$C$26/100
  ) + 1
))
</f>
        <v/>
      </c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</row>
    <row r="318">
      <c r="A318" s="197"/>
      <c r="B318" s="133"/>
      <c r="C318" s="133"/>
      <c r="D318" s="197"/>
      <c r="E318" s="133"/>
      <c r="F318" s="198"/>
      <c r="G318" s="198"/>
      <c r="H318" s="199" t="str">
        <f>IF(OR(ISBLANK('Оценка'!F318), ISBLANK('Оценка'!G318)), "", 
AVERAGE(
  (
    ('Оценка'!F318 + 4*AVERAGE('Оценка'!F318:G318) + 'Оценка'!G318)/6 - 
    2*(('Оценка'!G318 - 'Оценка'!F318)/6)
  )/5 , 
  (
    ('Оценка'!F318 + 4*AVERAGE('Оценка'!F318:G318) + 'Оценка'!G318)/6 + 
    2*(('Оценка'!G318 - 'Оценка'!F318)/6)
  )/5
) * 
(
  (
    ('PM (Расчеты)'!$C$22/8 + 'PM (Расчеты)'!$C$23/40) + 
    'PM (Расчеты)'!$C$21/100 + 'PM (Расчеты)'!$C$25/100 + 
    'PM (Расчеты)'!$C$26/100
  ) + 1
))
</f>
        <v/>
      </c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3"/>
      <c r="AC318" s="133"/>
      <c r="AD318" s="133"/>
      <c r="AE318" s="133"/>
      <c r="AF318" s="133"/>
    </row>
    <row r="319">
      <c r="A319" s="197"/>
      <c r="B319" s="133"/>
      <c r="C319" s="133"/>
      <c r="D319" s="197"/>
      <c r="E319" s="133"/>
      <c r="F319" s="198"/>
      <c r="G319" s="198"/>
      <c r="H319" s="199" t="str">
        <f>IF(OR(ISBLANK('Оценка'!F319), ISBLANK('Оценка'!G319)), "", 
AVERAGE(
  (
    ('Оценка'!F319 + 4*AVERAGE('Оценка'!F319:G319) + 'Оценка'!G319)/6 - 
    2*(('Оценка'!G319 - 'Оценка'!F319)/6)
  )/5 , 
  (
    ('Оценка'!F319 + 4*AVERAGE('Оценка'!F319:G319) + 'Оценка'!G319)/6 + 
    2*(('Оценка'!G319 - 'Оценка'!F319)/6)
  )/5
) * 
(
  (
    ('PM (Расчеты)'!$C$22/8 + 'PM (Расчеты)'!$C$23/40) + 
    'PM (Расчеты)'!$C$21/100 + 'PM (Расчеты)'!$C$25/100 + 
    'PM (Расчеты)'!$C$26/100
  ) + 1
))
</f>
        <v/>
      </c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3"/>
      <c r="AC319" s="133"/>
      <c r="AD319" s="133"/>
      <c r="AE319" s="133"/>
      <c r="AF319" s="133"/>
    </row>
    <row r="320">
      <c r="A320" s="197"/>
      <c r="B320" s="133"/>
      <c r="C320" s="133"/>
      <c r="D320" s="197"/>
      <c r="E320" s="133"/>
      <c r="F320" s="198"/>
      <c r="G320" s="198"/>
      <c r="H320" s="199" t="str">
        <f>IF(OR(ISBLANK('Оценка'!F320), ISBLANK('Оценка'!G320)), "", 
AVERAGE(
  (
    ('Оценка'!F320 + 4*AVERAGE('Оценка'!F320:G320) + 'Оценка'!G320)/6 - 
    2*(('Оценка'!G320 - 'Оценка'!F320)/6)
  )/5 , 
  (
    ('Оценка'!F320 + 4*AVERAGE('Оценка'!F320:G320) + 'Оценка'!G320)/6 + 
    2*(('Оценка'!G320 - 'Оценка'!F320)/6)
  )/5
) * 
(
  (
    ('PM (Расчеты)'!$C$22/8 + 'PM (Расчеты)'!$C$23/40) + 
    'PM (Расчеты)'!$C$21/100 + 'PM (Расчеты)'!$C$25/100 + 
    'PM (Расчеты)'!$C$26/100
  ) + 1
))
</f>
        <v/>
      </c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  <c r="AC320" s="133"/>
      <c r="AD320" s="133"/>
      <c r="AE320" s="133"/>
      <c r="AF320" s="133"/>
    </row>
    <row r="321">
      <c r="A321" s="197"/>
      <c r="B321" s="133"/>
      <c r="C321" s="133"/>
      <c r="D321" s="197"/>
      <c r="E321" s="133"/>
      <c r="F321" s="198"/>
      <c r="G321" s="198"/>
      <c r="H321" s="199" t="str">
        <f>IF(OR(ISBLANK('Оценка'!F321), ISBLANK('Оценка'!G321)), "", 
AVERAGE(
  (
    ('Оценка'!F321 + 4*AVERAGE('Оценка'!F321:G321) + 'Оценка'!G321)/6 - 
    2*(('Оценка'!G321 - 'Оценка'!F321)/6)
  )/5 , 
  (
    ('Оценка'!F321 + 4*AVERAGE('Оценка'!F321:G321) + 'Оценка'!G321)/6 + 
    2*(('Оценка'!G321 - 'Оценка'!F321)/6)
  )/5
) * 
(
  (
    ('PM (Расчеты)'!$C$22/8 + 'PM (Расчеты)'!$C$23/40) + 
    'PM (Расчеты)'!$C$21/100 + 'PM (Расчеты)'!$C$25/100 + 
    'PM (Расчеты)'!$C$26/100
  ) + 1
))
</f>
        <v/>
      </c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/>
      <c r="AC321" s="133"/>
      <c r="AD321" s="133"/>
      <c r="AE321" s="133"/>
      <c r="AF321" s="133"/>
    </row>
    <row r="322">
      <c r="A322" s="197"/>
      <c r="B322" s="133"/>
      <c r="C322" s="133"/>
      <c r="D322" s="197"/>
      <c r="E322" s="133"/>
      <c r="F322" s="198"/>
      <c r="G322" s="198"/>
      <c r="H322" s="199" t="str">
        <f>IF(OR(ISBLANK('Оценка'!F322), ISBLANK('Оценка'!G322)), "", 
AVERAGE(
  (
    ('Оценка'!F322 + 4*AVERAGE('Оценка'!F322:G322) + 'Оценка'!G322)/6 - 
    2*(('Оценка'!G322 - 'Оценка'!F322)/6)
  )/5 , 
  (
    ('Оценка'!F322 + 4*AVERAGE('Оценка'!F322:G322) + 'Оценка'!G322)/6 + 
    2*(('Оценка'!G322 - 'Оценка'!F322)/6)
  )/5
) * 
(
  (
    ('PM (Расчеты)'!$C$22/8 + 'PM (Расчеты)'!$C$23/40) + 
    'PM (Расчеты)'!$C$21/100 + 'PM (Расчеты)'!$C$25/100 + 
    'PM (Расчеты)'!$C$26/100
  ) + 1
))
</f>
        <v/>
      </c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  <c r="AC322" s="133"/>
      <c r="AD322" s="133"/>
      <c r="AE322" s="133"/>
      <c r="AF322" s="133"/>
    </row>
    <row r="323">
      <c r="A323" s="197"/>
      <c r="B323" s="133"/>
      <c r="C323" s="133"/>
      <c r="D323" s="197"/>
      <c r="E323" s="133"/>
      <c r="F323" s="198"/>
      <c r="G323" s="198"/>
      <c r="H323" s="199" t="str">
        <f>IF(OR(ISBLANK('Оценка'!F323), ISBLANK('Оценка'!G323)), "", 
AVERAGE(
  (
    ('Оценка'!F323 + 4*AVERAGE('Оценка'!F323:G323) + 'Оценка'!G323)/6 - 
    2*(('Оценка'!G323 - 'Оценка'!F323)/6)
  )/5 , 
  (
    ('Оценка'!F323 + 4*AVERAGE('Оценка'!F323:G323) + 'Оценка'!G323)/6 + 
    2*(('Оценка'!G323 - 'Оценка'!F323)/6)
  )/5
) * 
(
  (
    ('PM (Расчеты)'!$C$22/8 + 'PM (Расчеты)'!$C$23/40) + 
    'PM (Расчеты)'!$C$21/100 + 'PM (Расчеты)'!$C$25/100 + 
    'PM (Расчеты)'!$C$26/100
  ) + 1
))
</f>
        <v/>
      </c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3"/>
      <c r="AC323" s="133"/>
      <c r="AD323" s="133"/>
      <c r="AE323" s="133"/>
      <c r="AF323" s="133"/>
    </row>
    <row r="324">
      <c r="A324" s="197"/>
      <c r="B324" s="133"/>
      <c r="C324" s="133"/>
      <c r="D324" s="197"/>
      <c r="E324" s="133"/>
      <c r="F324" s="198"/>
      <c r="G324" s="198"/>
      <c r="H324" s="199" t="str">
        <f>IF(OR(ISBLANK('Оценка'!F324), ISBLANK('Оценка'!G324)), "", 
AVERAGE(
  (
    ('Оценка'!F324 + 4*AVERAGE('Оценка'!F324:G324) + 'Оценка'!G324)/6 - 
    2*(('Оценка'!G324 - 'Оценка'!F324)/6)
  )/5 , 
  (
    ('Оценка'!F324 + 4*AVERAGE('Оценка'!F324:G324) + 'Оценка'!G324)/6 + 
    2*(('Оценка'!G324 - 'Оценка'!F324)/6)
  )/5
) * 
(
  (
    ('PM (Расчеты)'!$C$22/8 + 'PM (Расчеты)'!$C$23/40) + 
    'PM (Расчеты)'!$C$21/100 + 'PM (Расчеты)'!$C$25/100 + 
    'PM (Расчеты)'!$C$26/100
  ) + 1
))
</f>
        <v/>
      </c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  <c r="AC324" s="133"/>
      <c r="AD324" s="133"/>
      <c r="AE324" s="133"/>
      <c r="AF324" s="133"/>
    </row>
    <row r="325">
      <c r="A325" s="197"/>
      <c r="B325" s="133"/>
      <c r="C325" s="133"/>
      <c r="D325" s="197"/>
      <c r="E325" s="133"/>
      <c r="F325" s="198"/>
      <c r="G325" s="198"/>
      <c r="H325" s="199" t="str">
        <f>IF(OR(ISBLANK('Оценка'!F325), ISBLANK('Оценка'!G325)), "", 
AVERAGE(
  (
    ('Оценка'!F325 + 4*AVERAGE('Оценка'!F325:G325) + 'Оценка'!G325)/6 - 
    2*(('Оценка'!G325 - 'Оценка'!F325)/6)
  )/5 , 
  (
    ('Оценка'!F325 + 4*AVERAGE('Оценка'!F325:G325) + 'Оценка'!G325)/6 + 
    2*(('Оценка'!G325 - 'Оценка'!F325)/6)
  )/5
) * 
(
  (
    ('PM (Расчеты)'!$C$22/8 + 'PM (Расчеты)'!$C$23/40) + 
    'PM (Расчеты)'!$C$21/100 + 'PM (Расчеты)'!$C$25/100 + 
    'PM (Расчеты)'!$C$26/100
  ) + 1
))
</f>
        <v/>
      </c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  <c r="AC325" s="133"/>
      <c r="AD325" s="133"/>
      <c r="AE325" s="133"/>
      <c r="AF325" s="133"/>
    </row>
    <row r="326">
      <c r="A326" s="197"/>
      <c r="B326" s="133"/>
      <c r="C326" s="133"/>
      <c r="D326" s="197"/>
      <c r="E326" s="133"/>
      <c r="F326" s="198"/>
      <c r="G326" s="198"/>
      <c r="H326" s="199" t="str">
        <f>IF(OR(ISBLANK('Оценка'!F326), ISBLANK('Оценка'!G326)), "", 
AVERAGE(
  (
    ('Оценка'!F326 + 4*AVERAGE('Оценка'!F326:G326) + 'Оценка'!G326)/6 - 
    2*(('Оценка'!G326 - 'Оценка'!F326)/6)
  )/5 , 
  (
    ('Оценка'!F326 + 4*AVERAGE('Оценка'!F326:G326) + 'Оценка'!G326)/6 + 
    2*(('Оценка'!G326 - 'Оценка'!F326)/6)
  )/5
) * 
(
  (
    ('PM (Расчеты)'!$C$22/8 + 'PM (Расчеты)'!$C$23/40) + 
    'PM (Расчеты)'!$C$21/100 + 'PM (Расчеты)'!$C$25/100 + 
    'PM (Расчеты)'!$C$26/100
  ) + 1
))
</f>
        <v/>
      </c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  <c r="AC326" s="133"/>
      <c r="AD326" s="133"/>
      <c r="AE326" s="133"/>
      <c r="AF326" s="133"/>
    </row>
    <row r="327">
      <c r="A327" s="197"/>
      <c r="B327" s="133"/>
      <c r="C327" s="133"/>
      <c r="D327" s="197"/>
      <c r="E327" s="133"/>
      <c r="F327" s="198"/>
      <c r="G327" s="198"/>
      <c r="H327" s="199" t="str">
        <f>IF(OR(ISBLANK('Оценка'!F327), ISBLANK('Оценка'!G327)), "", 
AVERAGE(
  (
    ('Оценка'!F327 + 4*AVERAGE('Оценка'!F327:G327) + 'Оценка'!G327)/6 - 
    2*(('Оценка'!G327 - 'Оценка'!F327)/6)
  )/5 , 
  (
    ('Оценка'!F327 + 4*AVERAGE('Оценка'!F327:G327) + 'Оценка'!G327)/6 + 
    2*(('Оценка'!G327 - 'Оценка'!F327)/6)
  )/5
) * 
(
  (
    ('PM (Расчеты)'!$C$22/8 + 'PM (Расчеты)'!$C$23/40) + 
    'PM (Расчеты)'!$C$21/100 + 'PM (Расчеты)'!$C$25/100 + 
    'PM (Расчеты)'!$C$26/100
  ) + 1
))
</f>
        <v/>
      </c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  <c r="AC327" s="133"/>
      <c r="AD327" s="133"/>
      <c r="AE327" s="133"/>
      <c r="AF327" s="133"/>
    </row>
    <row r="328">
      <c r="A328" s="197"/>
      <c r="B328" s="133"/>
      <c r="C328" s="133"/>
      <c r="D328" s="197"/>
      <c r="E328" s="133"/>
      <c r="F328" s="198"/>
      <c r="G328" s="198"/>
      <c r="H328" s="199" t="str">
        <f>IF(OR(ISBLANK('Оценка'!F328), ISBLANK('Оценка'!G328)), "", 
AVERAGE(
  (
    ('Оценка'!F328 + 4*AVERAGE('Оценка'!F328:G328) + 'Оценка'!G328)/6 - 
    2*(('Оценка'!G328 - 'Оценка'!F328)/6)
  )/5 , 
  (
    ('Оценка'!F328 + 4*AVERAGE('Оценка'!F328:G328) + 'Оценка'!G328)/6 + 
    2*(('Оценка'!G328 - 'Оценка'!F328)/6)
  )/5
) * 
(
  (
    ('PM (Расчеты)'!$C$22/8 + 'PM (Расчеты)'!$C$23/40) + 
    'PM (Расчеты)'!$C$21/100 + 'PM (Расчеты)'!$C$25/100 + 
    'PM (Расчеты)'!$C$26/100
  ) + 1
))
</f>
        <v/>
      </c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3"/>
      <c r="AC328" s="133"/>
      <c r="AD328" s="133"/>
      <c r="AE328" s="133"/>
      <c r="AF328" s="133"/>
    </row>
    <row r="329">
      <c r="A329" s="197"/>
      <c r="B329" s="133"/>
      <c r="C329" s="133"/>
      <c r="D329" s="197"/>
      <c r="E329" s="133"/>
      <c r="F329" s="198"/>
      <c r="G329" s="198"/>
      <c r="H329" s="200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  <c r="AC329" s="133"/>
      <c r="AD329" s="133"/>
      <c r="AE329" s="133"/>
      <c r="AF329" s="133"/>
    </row>
    <row r="330">
      <c r="A330" s="197"/>
      <c r="B330" s="133"/>
      <c r="C330" s="133"/>
      <c r="D330" s="197"/>
      <c r="E330" s="133"/>
      <c r="F330" s="198"/>
      <c r="G330" s="198"/>
      <c r="H330" s="200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3"/>
      <c r="AC330" s="133"/>
      <c r="AD330" s="133"/>
      <c r="AE330" s="133"/>
      <c r="AF330" s="133"/>
    </row>
    <row r="331">
      <c r="A331" s="197"/>
      <c r="B331" s="133"/>
      <c r="C331" s="133"/>
      <c r="D331" s="197"/>
      <c r="E331" s="133"/>
      <c r="F331" s="198"/>
      <c r="G331" s="198"/>
      <c r="H331" s="200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3"/>
      <c r="AC331" s="133"/>
      <c r="AD331" s="133"/>
      <c r="AE331" s="133"/>
      <c r="AF331" s="133"/>
    </row>
    <row r="332">
      <c r="A332" s="197"/>
      <c r="B332" s="133"/>
      <c r="C332" s="133"/>
      <c r="D332" s="197"/>
      <c r="E332" s="133"/>
      <c r="F332" s="198"/>
      <c r="G332" s="198"/>
      <c r="H332" s="200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3"/>
      <c r="AC332" s="133"/>
      <c r="AD332" s="133"/>
      <c r="AE332" s="133"/>
      <c r="AF332" s="133"/>
    </row>
    <row r="333">
      <c r="A333" s="197"/>
      <c r="B333" s="133"/>
      <c r="C333" s="133"/>
      <c r="D333" s="197"/>
      <c r="E333" s="133"/>
      <c r="F333" s="198"/>
      <c r="G333" s="198"/>
      <c r="H333" s="200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</row>
    <row r="334">
      <c r="A334" s="197"/>
      <c r="B334" s="133"/>
      <c r="C334" s="133"/>
      <c r="D334" s="197"/>
      <c r="E334" s="133"/>
      <c r="F334" s="198"/>
      <c r="G334" s="198"/>
      <c r="H334" s="200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</row>
    <row r="335">
      <c r="A335" s="197"/>
      <c r="B335" s="133"/>
      <c r="C335" s="133"/>
      <c r="D335" s="197"/>
      <c r="E335" s="133"/>
      <c r="F335" s="198"/>
      <c r="G335" s="198"/>
      <c r="H335" s="200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</row>
    <row r="336">
      <c r="A336" s="197"/>
      <c r="B336" s="133"/>
      <c r="C336" s="133"/>
      <c r="D336" s="197"/>
      <c r="E336" s="133"/>
      <c r="F336" s="198"/>
      <c r="G336" s="198"/>
      <c r="H336" s="200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</row>
    <row r="337">
      <c r="A337" s="197"/>
      <c r="B337" s="133"/>
      <c r="C337" s="133"/>
      <c r="D337" s="197"/>
      <c r="E337" s="133"/>
      <c r="F337" s="198"/>
      <c r="G337" s="198"/>
      <c r="H337" s="200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  <c r="AC337" s="133"/>
      <c r="AD337" s="133"/>
      <c r="AE337" s="133"/>
      <c r="AF337" s="133"/>
    </row>
    <row r="338">
      <c r="A338" s="197"/>
      <c r="B338" s="133"/>
      <c r="C338" s="133"/>
      <c r="D338" s="197"/>
      <c r="E338" s="133"/>
      <c r="F338" s="198"/>
      <c r="G338" s="198"/>
      <c r="H338" s="200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3"/>
      <c r="AC338" s="133"/>
      <c r="AD338" s="133"/>
      <c r="AE338" s="133"/>
      <c r="AF338" s="133"/>
    </row>
    <row r="339">
      <c r="A339" s="197"/>
      <c r="B339" s="133"/>
      <c r="C339" s="133"/>
      <c r="D339" s="197"/>
      <c r="E339" s="133"/>
      <c r="F339" s="198"/>
      <c r="G339" s="198"/>
      <c r="H339" s="200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  <c r="AC339" s="133"/>
      <c r="AD339" s="133"/>
      <c r="AE339" s="133"/>
      <c r="AF339" s="133"/>
    </row>
    <row r="340">
      <c r="A340" s="197"/>
      <c r="B340" s="133"/>
      <c r="C340" s="133"/>
      <c r="D340" s="197"/>
      <c r="E340" s="133"/>
      <c r="F340" s="198"/>
      <c r="G340" s="198"/>
      <c r="H340" s="200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3"/>
      <c r="AC340" s="133"/>
      <c r="AD340" s="133"/>
      <c r="AE340" s="133"/>
      <c r="AF340" s="133"/>
    </row>
    <row r="341">
      <c r="A341" s="197"/>
      <c r="B341" s="133"/>
      <c r="C341" s="133"/>
      <c r="D341" s="197"/>
      <c r="E341" s="133"/>
      <c r="F341" s="198"/>
      <c r="G341" s="198"/>
      <c r="H341" s="200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  <c r="AB341" s="133"/>
      <c r="AC341" s="133"/>
      <c r="AD341" s="133"/>
      <c r="AE341" s="133"/>
      <c r="AF341" s="133"/>
    </row>
    <row r="342">
      <c r="A342" s="197"/>
      <c r="B342" s="133"/>
      <c r="C342" s="133"/>
      <c r="D342" s="197"/>
      <c r="E342" s="133"/>
      <c r="F342" s="198"/>
      <c r="G342" s="198"/>
      <c r="H342" s="200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3"/>
      <c r="AC342" s="133"/>
      <c r="AD342" s="133"/>
      <c r="AE342" s="133"/>
      <c r="AF342" s="133"/>
    </row>
    <row r="343">
      <c r="A343" s="197"/>
      <c r="B343" s="133"/>
      <c r="C343" s="133"/>
      <c r="D343" s="197"/>
      <c r="E343" s="133"/>
      <c r="F343" s="198"/>
      <c r="G343" s="198"/>
      <c r="H343" s="200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  <c r="AB343" s="133"/>
      <c r="AC343" s="133"/>
      <c r="AD343" s="133"/>
      <c r="AE343" s="133"/>
      <c r="AF343" s="133"/>
    </row>
    <row r="344">
      <c r="A344" s="197"/>
      <c r="B344" s="133"/>
      <c r="C344" s="133"/>
      <c r="D344" s="197"/>
      <c r="E344" s="133"/>
      <c r="F344" s="198"/>
      <c r="G344" s="198"/>
      <c r="H344" s="200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  <c r="AB344" s="133"/>
      <c r="AC344" s="133"/>
      <c r="AD344" s="133"/>
      <c r="AE344" s="133"/>
      <c r="AF344" s="133"/>
    </row>
    <row r="345">
      <c r="A345" s="197"/>
      <c r="B345" s="133"/>
      <c r="C345" s="133"/>
      <c r="D345" s="197"/>
      <c r="E345" s="133"/>
      <c r="F345" s="198"/>
      <c r="G345" s="198"/>
      <c r="H345" s="200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  <c r="AB345" s="133"/>
      <c r="AC345" s="133"/>
      <c r="AD345" s="133"/>
      <c r="AE345" s="133"/>
      <c r="AF345" s="133"/>
    </row>
    <row r="346">
      <c r="A346" s="197"/>
      <c r="B346" s="133"/>
      <c r="C346" s="133"/>
      <c r="D346" s="197"/>
      <c r="E346" s="133"/>
      <c r="F346" s="198"/>
      <c r="G346" s="198"/>
      <c r="H346" s="200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  <c r="AC346" s="133"/>
      <c r="AD346" s="133"/>
      <c r="AE346" s="133"/>
      <c r="AF346" s="133"/>
    </row>
    <row r="347">
      <c r="A347" s="197"/>
      <c r="B347" s="133"/>
      <c r="C347" s="133"/>
      <c r="D347" s="197"/>
      <c r="E347" s="133"/>
      <c r="F347" s="198"/>
      <c r="G347" s="198"/>
      <c r="H347" s="200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3"/>
      <c r="AC347" s="133"/>
      <c r="AD347" s="133"/>
      <c r="AE347" s="133"/>
      <c r="AF347" s="133"/>
    </row>
    <row r="348">
      <c r="A348" s="197"/>
      <c r="B348" s="133"/>
      <c r="C348" s="133"/>
      <c r="D348" s="197"/>
      <c r="E348" s="133"/>
      <c r="F348" s="198"/>
      <c r="G348" s="198"/>
      <c r="H348" s="200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3"/>
      <c r="AC348" s="133"/>
      <c r="AD348" s="133"/>
      <c r="AE348" s="133"/>
      <c r="AF348" s="133"/>
    </row>
    <row r="349">
      <c r="A349" s="197"/>
      <c r="B349" s="133"/>
      <c r="C349" s="133"/>
      <c r="D349" s="197"/>
      <c r="E349" s="133"/>
      <c r="F349" s="198"/>
      <c r="G349" s="198"/>
      <c r="H349" s="200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3"/>
      <c r="AC349" s="133"/>
      <c r="AD349" s="133"/>
      <c r="AE349" s="133"/>
      <c r="AF349" s="133"/>
    </row>
    <row r="350">
      <c r="A350" s="197"/>
      <c r="B350" s="133"/>
      <c r="C350" s="133"/>
      <c r="D350" s="197"/>
      <c r="E350" s="133"/>
      <c r="F350" s="198"/>
      <c r="G350" s="198"/>
      <c r="H350" s="200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  <c r="AC350" s="133"/>
      <c r="AD350" s="133"/>
      <c r="AE350" s="133"/>
      <c r="AF350" s="133"/>
    </row>
    <row r="351">
      <c r="A351" s="197"/>
      <c r="B351" s="133"/>
      <c r="C351" s="133"/>
      <c r="D351" s="197"/>
      <c r="E351" s="133"/>
      <c r="F351" s="198"/>
      <c r="G351" s="198"/>
      <c r="H351" s="200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  <c r="AC351" s="133"/>
      <c r="AD351" s="133"/>
      <c r="AE351" s="133"/>
      <c r="AF351" s="133"/>
    </row>
    <row r="352">
      <c r="A352" s="197"/>
      <c r="B352" s="133"/>
      <c r="C352" s="133"/>
      <c r="D352" s="197"/>
      <c r="E352" s="133"/>
      <c r="F352" s="198"/>
      <c r="G352" s="198"/>
      <c r="H352" s="200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  <c r="AC352" s="133"/>
      <c r="AD352" s="133"/>
      <c r="AE352" s="133"/>
      <c r="AF352" s="133"/>
    </row>
    <row r="353">
      <c r="A353" s="197"/>
      <c r="B353" s="133"/>
      <c r="C353" s="133"/>
      <c r="D353" s="197"/>
      <c r="E353" s="133"/>
      <c r="F353" s="198"/>
      <c r="G353" s="198"/>
      <c r="H353" s="200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  <c r="AC353" s="133"/>
      <c r="AD353" s="133"/>
      <c r="AE353" s="133"/>
      <c r="AF353" s="133"/>
    </row>
    <row r="354">
      <c r="A354" s="197"/>
      <c r="B354" s="133"/>
      <c r="C354" s="133"/>
      <c r="D354" s="197"/>
      <c r="E354" s="133"/>
      <c r="F354" s="198"/>
      <c r="G354" s="198"/>
      <c r="H354" s="200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  <c r="AC354" s="133"/>
      <c r="AD354" s="133"/>
      <c r="AE354" s="133"/>
      <c r="AF354" s="133"/>
    </row>
    <row r="355">
      <c r="A355" s="197"/>
      <c r="B355" s="133"/>
      <c r="C355" s="133"/>
      <c r="D355" s="197"/>
      <c r="E355" s="133"/>
      <c r="F355" s="198"/>
      <c r="G355" s="198"/>
      <c r="H355" s="200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3"/>
      <c r="AC355" s="133"/>
      <c r="AD355" s="133"/>
      <c r="AE355" s="133"/>
      <c r="AF355" s="133"/>
    </row>
    <row r="356">
      <c r="A356" s="197"/>
      <c r="B356" s="133"/>
      <c r="C356" s="133"/>
      <c r="D356" s="197"/>
      <c r="E356" s="133"/>
      <c r="F356" s="198"/>
      <c r="G356" s="198"/>
      <c r="H356" s="200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/>
      <c r="AC356" s="133"/>
      <c r="AD356" s="133"/>
      <c r="AE356" s="133"/>
      <c r="AF356" s="133"/>
    </row>
    <row r="357">
      <c r="A357" s="197"/>
      <c r="B357" s="133"/>
      <c r="C357" s="133"/>
      <c r="D357" s="197"/>
      <c r="E357" s="133"/>
      <c r="F357" s="198"/>
      <c r="G357" s="198"/>
      <c r="H357" s="200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3"/>
      <c r="AC357" s="133"/>
      <c r="AD357" s="133"/>
      <c r="AE357" s="133"/>
      <c r="AF357" s="133"/>
    </row>
    <row r="358">
      <c r="A358" s="197"/>
      <c r="B358" s="133"/>
      <c r="C358" s="133"/>
      <c r="D358" s="197"/>
      <c r="E358" s="133"/>
      <c r="F358" s="198"/>
      <c r="G358" s="198"/>
      <c r="H358" s="200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3"/>
      <c r="AC358" s="133"/>
      <c r="AD358" s="133"/>
      <c r="AE358" s="133"/>
      <c r="AF358" s="133"/>
    </row>
    <row r="359">
      <c r="A359" s="197"/>
      <c r="B359" s="133"/>
      <c r="C359" s="133"/>
      <c r="D359" s="197"/>
      <c r="E359" s="133"/>
      <c r="F359" s="198"/>
      <c r="G359" s="198"/>
      <c r="H359" s="200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  <c r="AB359" s="133"/>
      <c r="AC359" s="133"/>
      <c r="AD359" s="133"/>
      <c r="AE359" s="133"/>
      <c r="AF359" s="133"/>
    </row>
    <row r="360">
      <c r="A360" s="197"/>
      <c r="B360" s="133"/>
      <c r="C360" s="133"/>
      <c r="D360" s="197"/>
      <c r="E360" s="133"/>
      <c r="F360" s="198"/>
      <c r="G360" s="198"/>
      <c r="H360" s="200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  <c r="AB360" s="133"/>
      <c r="AC360" s="133"/>
      <c r="AD360" s="133"/>
      <c r="AE360" s="133"/>
      <c r="AF360" s="133"/>
    </row>
    <row r="361">
      <c r="A361" s="197"/>
      <c r="B361" s="133"/>
      <c r="C361" s="133"/>
      <c r="D361" s="197"/>
      <c r="E361" s="133"/>
      <c r="F361" s="198"/>
      <c r="G361" s="198"/>
      <c r="H361" s="200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  <c r="AC361" s="133"/>
      <c r="AD361" s="133"/>
      <c r="AE361" s="133"/>
      <c r="AF361" s="133"/>
    </row>
    <row r="362">
      <c r="A362" s="197"/>
      <c r="B362" s="133"/>
      <c r="C362" s="133"/>
      <c r="D362" s="197"/>
      <c r="E362" s="133"/>
      <c r="F362" s="198"/>
      <c r="G362" s="198"/>
      <c r="H362" s="200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3"/>
      <c r="AC362" s="133"/>
      <c r="AD362" s="133"/>
      <c r="AE362" s="133"/>
      <c r="AF362" s="133"/>
    </row>
    <row r="363">
      <c r="A363" s="197"/>
      <c r="B363" s="133"/>
      <c r="C363" s="133"/>
      <c r="D363" s="197"/>
      <c r="E363" s="133"/>
      <c r="F363" s="198"/>
      <c r="G363" s="198"/>
      <c r="H363" s="200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  <c r="AC363" s="133"/>
      <c r="AD363" s="133"/>
      <c r="AE363" s="133"/>
      <c r="AF363" s="133"/>
    </row>
    <row r="364">
      <c r="A364" s="197"/>
      <c r="B364" s="133"/>
      <c r="C364" s="133"/>
      <c r="D364" s="197"/>
      <c r="E364" s="133"/>
      <c r="F364" s="198"/>
      <c r="G364" s="198"/>
      <c r="H364" s="200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3"/>
      <c r="AC364" s="133"/>
      <c r="AD364" s="133"/>
      <c r="AE364" s="133"/>
      <c r="AF364" s="133"/>
    </row>
    <row r="365">
      <c r="A365" s="197"/>
      <c r="B365" s="133"/>
      <c r="C365" s="133"/>
      <c r="D365" s="197"/>
      <c r="E365" s="133"/>
      <c r="F365" s="198"/>
      <c r="G365" s="198"/>
      <c r="H365" s="200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  <c r="AB365" s="133"/>
      <c r="AC365" s="133"/>
      <c r="AD365" s="133"/>
      <c r="AE365" s="133"/>
      <c r="AF365" s="133"/>
    </row>
    <row r="366">
      <c r="A366" s="197"/>
      <c r="B366" s="133"/>
      <c r="C366" s="133"/>
      <c r="D366" s="197"/>
      <c r="E366" s="133"/>
      <c r="F366" s="198"/>
      <c r="G366" s="198"/>
      <c r="H366" s="200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3"/>
      <c r="AC366" s="133"/>
      <c r="AD366" s="133"/>
      <c r="AE366" s="133"/>
      <c r="AF366" s="133"/>
    </row>
    <row r="367">
      <c r="A367" s="197"/>
      <c r="B367" s="133"/>
      <c r="C367" s="133"/>
      <c r="D367" s="197"/>
      <c r="E367" s="133"/>
      <c r="F367" s="198"/>
      <c r="G367" s="198"/>
      <c r="H367" s="200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3"/>
      <c r="AC367" s="133"/>
      <c r="AD367" s="133"/>
      <c r="AE367" s="133"/>
      <c r="AF367" s="133"/>
    </row>
    <row r="368">
      <c r="A368" s="197"/>
      <c r="B368" s="133"/>
      <c r="C368" s="133"/>
      <c r="D368" s="197"/>
      <c r="E368" s="133"/>
      <c r="F368" s="198"/>
      <c r="G368" s="198"/>
      <c r="H368" s="200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  <c r="AB368" s="133"/>
      <c r="AC368" s="133"/>
      <c r="AD368" s="133"/>
      <c r="AE368" s="133"/>
      <c r="AF368" s="133"/>
    </row>
    <row r="369">
      <c r="A369" s="197"/>
      <c r="B369" s="133"/>
      <c r="C369" s="133"/>
      <c r="D369" s="197"/>
      <c r="E369" s="133"/>
      <c r="F369" s="198"/>
      <c r="G369" s="198"/>
      <c r="H369" s="200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/>
      <c r="AB369" s="133"/>
      <c r="AC369" s="133"/>
      <c r="AD369" s="133"/>
      <c r="AE369" s="133"/>
      <c r="AF369" s="133"/>
    </row>
    <row r="370">
      <c r="A370" s="197"/>
      <c r="B370" s="133"/>
      <c r="C370" s="133"/>
      <c r="D370" s="197"/>
      <c r="E370" s="133"/>
      <c r="F370" s="198"/>
      <c r="G370" s="198"/>
      <c r="H370" s="200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</row>
    <row r="371">
      <c r="A371" s="197"/>
      <c r="B371" s="133"/>
      <c r="C371" s="133"/>
      <c r="D371" s="197"/>
      <c r="E371" s="133"/>
      <c r="F371" s="198"/>
      <c r="G371" s="198"/>
      <c r="H371" s="200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3"/>
      <c r="AC371" s="133"/>
      <c r="AD371" s="133"/>
      <c r="AE371" s="133"/>
      <c r="AF371" s="133"/>
    </row>
    <row r="372">
      <c r="A372" s="197"/>
      <c r="B372" s="133"/>
      <c r="C372" s="133"/>
      <c r="D372" s="197"/>
      <c r="E372" s="133"/>
      <c r="F372" s="198"/>
      <c r="G372" s="198"/>
      <c r="H372" s="200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  <c r="AE372" s="133"/>
      <c r="AF372" s="133"/>
    </row>
    <row r="373">
      <c r="A373" s="197"/>
      <c r="B373" s="133"/>
      <c r="C373" s="133"/>
      <c r="D373" s="197"/>
      <c r="E373" s="133"/>
      <c r="F373" s="198"/>
      <c r="G373" s="198"/>
      <c r="H373" s="200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  <c r="AE373" s="133"/>
      <c r="AF373" s="133"/>
    </row>
    <row r="374">
      <c r="A374" s="197"/>
      <c r="B374" s="133"/>
      <c r="C374" s="133"/>
      <c r="D374" s="197"/>
      <c r="E374" s="133"/>
      <c r="F374" s="198"/>
      <c r="G374" s="198"/>
      <c r="H374" s="200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  <c r="AB374" s="133"/>
      <c r="AC374" s="133"/>
      <c r="AD374" s="133"/>
      <c r="AE374" s="133"/>
      <c r="AF374" s="133"/>
    </row>
    <row r="375">
      <c r="A375" s="197"/>
      <c r="B375" s="133"/>
      <c r="C375" s="133"/>
      <c r="D375" s="197"/>
      <c r="E375" s="133"/>
      <c r="F375" s="198"/>
      <c r="G375" s="198"/>
      <c r="H375" s="200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  <c r="AB375" s="133"/>
      <c r="AC375" s="133"/>
      <c r="AD375" s="133"/>
      <c r="AE375" s="133"/>
      <c r="AF375" s="133"/>
    </row>
    <row r="376">
      <c r="A376" s="197"/>
      <c r="B376" s="133"/>
      <c r="C376" s="133"/>
      <c r="D376" s="197"/>
      <c r="E376" s="133"/>
      <c r="F376" s="198"/>
      <c r="G376" s="198"/>
      <c r="H376" s="200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3"/>
      <c r="AC376" s="133"/>
      <c r="AD376" s="133"/>
      <c r="AE376" s="133"/>
      <c r="AF376" s="133"/>
    </row>
    <row r="377">
      <c r="A377" s="197"/>
      <c r="B377" s="133"/>
      <c r="C377" s="133"/>
      <c r="D377" s="197"/>
      <c r="E377" s="133"/>
      <c r="F377" s="198"/>
      <c r="G377" s="198"/>
      <c r="H377" s="200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3"/>
      <c r="AC377" s="133"/>
      <c r="AD377" s="133"/>
      <c r="AE377" s="133"/>
      <c r="AF377" s="133"/>
    </row>
    <row r="378">
      <c r="A378" s="197"/>
      <c r="B378" s="133"/>
      <c r="C378" s="133"/>
      <c r="D378" s="197"/>
      <c r="E378" s="133"/>
      <c r="F378" s="198"/>
      <c r="G378" s="198"/>
      <c r="H378" s="200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  <c r="AB378" s="133"/>
      <c r="AC378" s="133"/>
      <c r="AD378" s="133"/>
      <c r="AE378" s="133"/>
      <c r="AF378" s="133"/>
    </row>
    <row r="379">
      <c r="A379" s="197"/>
      <c r="B379" s="133"/>
      <c r="C379" s="133"/>
      <c r="D379" s="197"/>
      <c r="E379" s="133"/>
      <c r="F379" s="198"/>
      <c r="G379" s="198"/>
      <c r="H379" s="200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  <c r="AB379" s="133"/>
      <c r="AC379" s="133"/>
      <c r="AD379" s="133"/>
      <c r="AE379" s="133"/>
      <c r="AF379" s="133"/>
    </row>
    <row r="380">
      <c r="A380" s="197"/>
      <c r="B380" s="133"/>
      <c r="C380" s="133"/>
      <c r="D380" s="197"/>
      <c r="E380" s="133"/>
      <c r="F380" s="198"/>
      <c r="G380" s="198"/>
      <c r="H380" s="200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  <c r="AA380" s="133"/>
      <c r="AB380" s="133"/>
      <c r="AC380" s="133"/>
      <c r="AD380" s="133"/>
      <c r="AE380" s="133"/>
      <c r="AF380" s="133"/>
    </row>
    <row r="381">
      <c r="A381" s="197"/>
      <c r="B381" s="133"/>
      <c r="C381" s="133"/>
      <c r="D381" s="197"/>
      <c r="E381" s="133"/>
      <c r="F381" s="198"/>
      <c r="G381" s="198"/>
      <c r="H381" s="200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  <c r="AA381" s="133"/>
      <c r="AB381" s="133"/>
      <c r="AC381" s="133"/>
      <c r="AD381" s="133"/>
      <c r="AE381" s="133"/>
      <c r="AF381" s="133"/>
    </row>
    <row r="382">
      <c r="A382" s="197"/>
      <c r="B382" s="133"/>
      <c r="C382" s="133"/>
      <c r="D382" s="197"/>
      <c r="E382" s="133"/>
      <c r="F382" s="198"/>
      <c r="G382" s="198"/>
      <c r="H382" s="200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/>
      <c r="AC382" s="133"/>
      <c r="AD382" s="133"/>
      <c r="AE382" s="133"/>
      <c r="AF382" s="133"/>
    </row>
    <row r="383">
      <c r="A383" s="197"/>
      <c r="B383" s="133"/>
      <c r="C383" s="133"/>
      <c r="D383" s="197"/>
      <c r="E383" s="133"/>
      <c r="F383" s="198"/>
      <c r="G383" s="198"/>
      <c r="H383" s="200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3"/>
      <c r="AC383" s="133"/>
      <c r="AD383" s="133"/>
      <c r="AE383" s="133"/>
      <c r="AF383" s="133"/>
    </row>
    <row r="384">
      <c r="A384" s="197"/>
      <c r="B384" s="133"/>
      <c r="C384" s="133"/>
      <c r="D384" s="197"/>
      <c r="E384" s="133"/>
      <c r="F384" s="198"/>
      <c r="G384" s="198"/>
      <c r="H384" s="200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/>
      <c r="AB384" s="133"/>
      <c r="AC384" s="133"/>
      <c r="AD384" s="133"/>
      <c r="AE384" s="133"/>
      <c r="AF384" s="133"/>
    </row>
    <row r="385">
      <c r="A385" s="197"/>
      <c r="B385" s="133"/>
      <c r="C385" s="133"/>
      <c r="D385" s="197"/>
      <c r="E385" s="133"/>
      <c r="F385" s="198"/>
      <c r="G385" s="198"/>
      <c r="H385" s="200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  <c r="AA385" s="133"/>
      <c r="AB385" s="133"/>
      <c r="AC385" s="133"/>
      <c r="AD385" s="133"/>
      <c r="AE385" s="133"/>
      <c r="AF385" s="133"/>
    </row>
    <row r="386">
      <c r="A386" s="197"/>
      <c r="B386" s="133"/>
      <c r="C386" s="133"/>
      <c r="D386" s="197"/>
      <c r="E386" s="133"/>
      <c r="F386" s="198"/>
      <c r="G386" s="198"/>
      <c r="H386" s="200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/>
      <c r="AC386" s="133"/>
      <c r="AD386" s="133"/>
      <c r="AE386" s="133"/>
      <c r="AF386" s="133"/>
    </row>
    <row r="387">
      <c r="A387" s="197"/>
      <c r="B387" s="133"/>
      <c r="C387" s="133"/>
      <c r="D387" s="197"/>
      <c r="E387" s="133"/>
      <c r="F387" s="198"/>
      <c r="G387" s="198"/>
      <c r="H387" s="200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  <c r="AC387" s="133"/>
      <c r="AD387" s="133"/>
      <c r="AE387" s="133"/>
      <c r="AF387" s="133"/>
    </row>
    <row r="388">
      <c r="A388" s="197"/>
      <c r="B388" s="133"/>
      <c r="C388" s="133"/>
      <c r="D388" s="197"/>
      <c r="E388" s="133"/>
      <c r="F388" s="198"/>
      <c r="G388" s="198"/>
      <c r="H388" s="200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  <c r="AA388" s="133"/>
      <c r="AB388" s="133"/>
      <c r="AC388" s="133"/>
      <c r="AD388" s="133"/>
      <c r="AE388" s="133"/>
      <c r="AF388" s="133"/>
    </row>
    <row r="389">
      <c r="A389" s="197"/>
      <c r="B389" s="133"/>
      <c r="C389" s="133"/>
      <c r="D389" s="197"/>
      <c r="E389" s="133"/>
      <c r="F389" s="198"/>
      <c r="G389" s="198"/>
      <c r="H389" s="200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  <c r="AA389" s="133"/>
      <c r="AB389" s="133"/>
      <c r="AC389" s="133"/>
      <c r="AD389" s="133"/>
      <c r="AE389" s="133"/>
      <c r="AF389" s="133"/>
    </row>
    <row r="390">
      <c r="A390" s="197"/>
      <c r="B390" s="133"/>
      <c r="C390" s="133"/>
      <c r="D390" s="197"/>
      <c r="E390" s="133"/>
      <c r="F390" s="198"/>
      <c r="G390" s="198"/>
      <c r="H390" s="200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  <c r="AB390" s="133"/>
      <c r="AC390" s="133"/>
      <c r="AD390" s="133"/>
      <c r="AE390" s="133"/>
      <c r="AF390" s="133"/>
    </row>
    <row r="391">
      <c r="A391" s="197"/>
      <c r="B391" s="133"/>
      <c r="C391" s="133"/>
      <c r="D391" s="197"/>
      <c r="E391" s="133"/>
      <c r="F391" s="198"/>
      <c r="G391" s="198"/>
      <c r="H391" s="200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  <c r="AA391" s="133"/>
      <c r="AB391" s="133"/>
      <c r="AC391" s="133"/>
      <c r="AD391" s="133"/>
      <c r="AE391" s="133"/>
      <c r="AF391" s="133"/>
    </row>
    <row r="392">
      <c r="A392" s="197"/>
      <c r="B392" s="133"/>
      <c r="C392" s="133"/>
      <c r="D392" s="197"/>
      <c r="E392" s="133"/>
      <c r="F392" s="198"/>
      <c r="G392" s="198"/>
      <c r="H392" s="200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  <c r="AB392" s="133"/>
      <c r="AC392" s="133"/>
      <c r="AD392" s="133"/>
      <c r="AE392" s="133"/>
      <c r="AF392" s="133"/>
    </row>
    <row r="393">
      <c r="A393" s="197"/>
      <c r="B393" s="133"/>
      <c r="C393" s="133"/>
      <c r="D393" s="197"/>
      <c r="E393" s="133"/>
      <c r="F393" s="198"/>
      <c r="G393" s="198"/>
      <c r="H393" s="200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  <c r="AA393" s="133"/>
      <c r="AB393" s="133"/>
      <c r="AC393" s="133"/>
      <c r="AD393" s="133"/>
      <c r="AE393" s="133"/>
      <c r="AF393" s="133"/>
    </row>
    <row r="394">
      <c r="A394" s="197"/>
      <c r="B394" s="133"/>
      <c r="C394" s="133"/>
      <c r="D394" s="197"/>
      <c r="E394" s="133"/>
      <c r="F394" s="198"/>
      <c r="G394" s="198"/>
      <c r="H394" s="200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  <c r="AA394" s="133"/>
      <c r="AB394" s="133"/>
      <c r="AC394" s="133"/>
      <c r="AD394" s="133"/>
      <c r="AE394" s="133"/>
      <c r="AF394" s="133"/>
    </row>
    <row r="395">
      <c r="A395" s="197"/>
      <c r="B395" s="133"/>
      <c r="C395" s="133"/>
      <c r="D395" s="197"/>
      <c r="E395" s="133"/>
      <c r="F395" s="198"/>
      <c r="G395" s="198"/>
      <c r="H395" s="200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  <c r="AA395" s="133"/>
      <c r="AB395" s="133"/>
      <c r="AC395" s="133"/>
      <c r="AD395" s="133"/>
      <c r="AE395" s="133"/>
      <c r="AF395" s="133"/>
    </row>
    <row r="396">
      <c r="A396" s="197"/>
      <c r="B396" s="133"/>
      <c r="C396" s="133"/>
      <c r="D396" s="197"/>
      <c r="E396" s="133"/>
      <c r="F396" s="198"/>
      <c r="G396" s="198"/>
      <c r="H396" s="200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  <c r="AC396" s="133"/>
      <c r="AD396" s="133"/>
      <c r="AE396" s="133"/>
      <c r="AF396" s="133"/>
    </row>
    <row r="397">
      <c r="A397" s="197"/>
      <c r="B397" s="133"/>
      <c r="C397" s="133"/>
      <c r="D397" s="197"/>
      <c r="E397" s="133"/>
      <c r="F397" s="198"/>
      <c r="G397" s="198"/>
      <c r="H397" s="200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  <c r="AB397" s="133"/>
      <c r="AC397" s="133"/>
      <c r="AD397" s="133"/>
      <c r="AE397" s="133"/>
      <c r="AF397" s="133"/>
    </row>
    <row r="398">
      <c r="A398" s="197"/>
      <c r="B398" s="133"/>
      <c r="C398" s="133"/>
      <c r="D398" s="197"/>
      <c r="E398" s="133"/>
      <c r="F398" s="198"/>
      <c r="G398" s="198"/>
      <c r="H398" s="200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  <c r="AB398" s="133"/>
      <c r="AC398" s="133"/>
      <c r="AD398" s="133"/>
      <c r="AE398" s="133"/>
      <c r="AF398" s="133"/>
    </row>
    <row r="399">
      <c r="A399" s="197"/>
      <c r="B399" s="133"/>
      <c r="C399" s="133"/>
      <c r="D399" s="197"/>
      <c r="E399" s="133"/>
      <c r="F399" s="198"/>
      <c r="G399" s="198"/>
      <c r="H399" s="200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  <c r="AC399" s="133"/>
      <c r="AD399" s="133"/>
      <c r="AE399" s="133"/>
      <c r="AF399" s="133"/>
    </row>
    <row r="400">
      <c r="A400" s="197"/>
      <c r="B400" s="133"/>
      <c r="C400" s="133"/>
      <c r="D400" s="197"/>
      <c r="E400" s="133"/>
      <c r="F400" s="198"/>
      <c r="G400" s="198"/>
      <c r="H400" s="200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  <c r="AA400" s="133"/>
      <c r="AB400" s="133"/>
      <c r="AC400" s="133"/>
      <c r="AD400" s="133"/>
      <c r="AE400" s="133"/>
      <c r="AF400" s="133"/>
    </row>
    <row r="401">
      <c r="A401" s="197"/>
      <c r="B401" s="133"/>
      <c r="C401" s="133"/>
      <c r="D401" s="197"/>
      <c r="E401" s="133"/>
      <c r="F401" s="198"/>
      <c r="G401" s="198"/>
      <c r="H401" s="200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  <c r="AA401" s="133"/>
      <c r="AB401" s="133"/>
      <c r="AC401" s="133"/>
      <c r="AD401" s="133"/>
      <c r="AE401" s="133"/>
      <c r="AF401" s="133"/>
    </row>
    <row r="402">
      <c r="A402" s="197"/>
      <c r="B402" s="133"/>
      <c r="C402" s="133"/>
      <c r="D402" s="197"/>
      <c r="E402" s="133"/>
      <c r="F402" s="198"/>
      <c r="G402" s="198"/>
      <c r="H402" s="200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  <c r="AB402" s="133"/>
      <c r="AC402" s="133"/>
      <c r="AD402" s="133"/>
      <c r="AE402" s="133"/>
      <c r="AF402" s="133"/>
    </row>
    <row r="403">
      <c r="A403" s="197"/>
      <c r="B403" s="133"/>
      <c r="C403" s="133"/>
      <c r="D403" s="197"/>
      <c r="E403" s="133"/>
      <c r="F403" s="198"/>
      <c r="G403" s="198"/>
      <c r="H403" s="200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  <c r="AB403" s="133"/>
      <c r="AC403" s="133"/>
      <c r="AD403" s="133"/>
      <c r="AE403" s="133"/>
      <c r="AF403" s="133"/>
    </row>
    <row r="404">
      <c r="A404" s="197"/>
      <c r="B404" s="133"/>
      <c r="C404" s="133"/>
      <c r="D404" s="197"/>
      <c r="E404" s="133"/>
      <c r="F404" s="198"/>
      <c r="G404" s="198"/>
      <c r="H404" s="200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  <c r="AB404" s="133"/>
      <c r="AC404" s="133"/>
      <c r="AD404" s="133"/>
      <c r="AE404" s="133"/>
      <c r="AF404" s="133"/>
    </row>
    <row r="405">
      <c r="A405" s="197"/>
      <c r="B405" s="133"/>
      <c r="C405" s="133"/>
      <c r="D405" s="197"/>
      <c r="E405" s="133"/>
      <c r="F405" s="198"/>
      <c r="G405" s="198"/>
      <c r="H405" s="200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  <c r="AC405" s="133"/>
      <c r="AD405" s="133"/>
      <c r="AE405" s="133"/>
      <c r="AF405" s="133"/>
    </row>
    <row r="406">
      <c r="A406" s="197"/>
      <c r="B406" s="133"/>
      <c r="C406" s="133"/>
      <c r="D406" s="197"/>
      <c r="E406" s="133"/>
      <c r="F406" s="198"/>
      <c r="G406" s="198"/>
      <c r="H406" s="200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3"/>
      <c r="AC406" s="133"/>
      <c r="AD406" s="133"/>
      <c r="AE406" s="133"/>
      <c r="AF406" s="133"/>
    </row>
    <row r="407">
      <c r="A407" s="197"/>
      <c r="B407" s="133"/>
      <c r="C407" s="133"/>
      <c r="D407" s="197"/>
      <c r="E407" s="133"/>
      <c r="F407" s="198"/>
      <c r="G407" s="198"/>
      <c r="H407" s="200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  <c r="AB407" s="133"/>
      <c r="AC407" s="133"/>
      <c r="AD407" s="133"/>
      <c r="AE407" s="133"/>
      <c r="AF407" s="133"/>
    </row>
    <row r="408">
      <c r="A408" s="197"/>
      <c r="B408" s="133"/>
      <c r="C408" s="133"/>
      <c r="D408" s="197"/>
      <c r="E408" s="133"/>
      <c r="F408" s="198"/>
      <c r="G408" s="198"/>
      <c r="H408" s="200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3"/>
      <c r="AC408" s="133"/>
      <c r="AD408" s="133"/>
      <c r="AE408" s="133"/>
      <c r="AF408" s="133"/>
    </row>
    <row r="409">
      <c r="A409" s="197"/>
      <c r="B409" s="133"/>
      <c r="C409" s="133"/>
      <c r="D409" s="197"/>
      <c r="E409" s="133"/>
      <c r="F409" s="198"/>
      <c r="G409" s="198"/>
      <c r="H409" s="200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  <c r="AB409" s="133"/>
      <c r="AC409" s="133"/>
      <c r="AD409" s="133"/>
      <c r="AE409" s="133"/>
      <c r="AF409" s="133"/>
    </row>
    <row r="410">
      <c r="A410" s="197"/>
      <c r="B410" s="133"/>
      <c r="C410" s="133"/>
      <c r="D410" s="197"/>
      <c r="E410" s="133"/>
      <c r="F410" s="198"/>
      <c r="G410" s="198"/>
      <c r="H410" s="200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  <c r="AB410" s="133"/>
      <c r="AC410" s="133"/>
      <c r="AD410" s="133"/>
      <c r="AE410" s="133"/>
      <c r="AF410" s="133"/>
    </row>
    <row r="411">
      <c r="A411" s="197"/>
      <c r="B411" s="133"/>
      <c r="C411" s="133"/>
      <c r="D411" s="197"/>
      <c r="E411" s="133"/>
      <c r="F411" s="198"/>
      <c r="G411" s="198"/>
      <c r="H411" s="200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  <c r="AB411" s="133"/>
      <c r="AC411" s="133"/>
      <c r="AD411" s="133"/>
      <c r="AE411" s="133"/>
      <c r="AF411" s="133"/>
    </row>
    <row r="412">
      <c r="A412" s="197"/>
      <c r="B412" s="133"/>
      <c r="C412" s="133"/>
      <c r="D412" s="197"/>
      <c r="E412" s="133"/>
      <c r="F412" s="198"/>
      <c r="G412" s="198"/>
      <c r="H412" s="200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  <c r="AC412" s="133"/>
      <c r="AD412" s="133"/>
      <c r="AE412" s="133"/>
      <c r="AF412" s="133"/>
    </row>
    <row r="413">
      <c r="A413" s="197"/>
      <c r="B413" s="133"/>
      <c r="C413" s="133"/>
      <c r="D413" s="197"/>
      <c r="E413" s="133"/>
      <c r="F413" s="198"/>
      <c r="G413" s="198"/>
      <c r="H413" s="200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  <c r="AB413" s="133"/>
      <c r="AC413" s="133"/>
      <c r="AD413" s="133"/>
      <c r="AE413" s="133"/>
      <c r="AF413" s="133"/>
    </row>
    <row r="414">
      <c r="A414" s="197"/>
      <c r="B414" s="133"/>
      <c r="C414" s="133"/>
      <c r="D414" s="197"/>
      <c r="E414" s="133"/>
      <c r="F414" s="198"/>
      <c r="G414" s="198"/>
      <c r="H414" s="200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  <c r="AB414" s="133"/>
      <c r="AC414" s="133"/>
      <c r="AD414" s="133"/>
      <c r="AE414" s="133"/>
      <c r="AF414" s="133"/>
    </row>
    <row r="415">
      <c r="A415" s="197"/>
      <c r="B415" s="133"/>
      <c r="C415" s="133"/>
      <c r="D415" s="197"/>
      <c r="E415" s="133"/>
      <c r="F415" s="198"/>
      <c r="G415" s="198"/>
      <c r="H415" s="200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3"/>
      <c r="AC415" s="133"/>
      <c r="AD415" s="133"/>
      <c r="AE415" s="133"/>
      <c r="AF415" s="133"/>
    </row>
    <row r="416">
      <c r="A416" s="197"/>
      <c r="B416" s="133"/>
      <c r="C416" s="133"/>
      <c r="D416" s="197"/>
      <c r="E416" s="133"/>
      <c r="F416" s="198"/>
      <c r="G416" s="198"/>
      <c r="H416" s="200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3"/>
      <c r="AC416" s="133"/>
      <c r="AD416" s="133"/>
      <c r="AE416" s="133"/>
      <c r="AF416" s="133"/>
    </row>
    <row r="417">
      <c r="A417" s="197"/>
      <c r="B417" s="133"/>
      <c r="C417" s="133"/>
      <c r="D417" s="197"/>
      <c r="E417" s="133"/>
      <c r="F417" s="198"/>
      <c r="G417" s="198"/>
      <c r="H417" s="200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  <c r="AC417" s="133"/>
      <c r="AD417" s="133"/>
      <c r="AE417" s="133"/>
      <c r="AF417" s="133"/>
    </row>
    <row r="418">
      <c r="A418" s="197"/>
      <c r="B418" s="133"/>
      <c r="C418" s="133"/>
      <c r="D418" s="197"/>
      <c r="E418" s="133"/>
      <c r="F418" s="198"/>
      <c r="G418" s="198"/>
      <c r="H418" s="200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  <c r="AC418" s="133"/>
      <c r="AD418" s="133"/>
      <c r="AE418" s="133"/>
      <c r="AF418" s="133"/>
    </row>
    <row r="419">
      <c r="A419" s="197"/>
      <c r="B419" s="133"/>
      <c r="C419" s="133"/>
      <c r="D419" s="197"/>
      <c r="E419" s="133"/>
      <c r="F419" s="198"/>
      <c r="G419" s="198"/>
      <c r="H419" s="200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  <c r="AB419" s="133"/>
      <c r="AC419" s="133"/>
      <c r="AD419" s="133"/>
      <c r="AE419" s="133"/>
      <c r="AF419" s="133"/>
    </row>
    <row r="420">
      <c r="A420" s="197"/>
      <c r="B420" s="133"/>
      <c r="C420" s="133"/>
      <c r="D420" s="197"/>
      <c r="E420" s="133"/>
      <c r="F420" s="198"/>
      <c r="G420" s="198"/>
      <c r="H420" s="200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  <c r="AB420" s="133"/>
      <c r="AC420" s="133"/>
      <c r="AD420" s="133"/>
      <c r="AE420" s="133"/>
      <c r="AF420" s="133"/>
    </row>
    <row r="421">
      <c r="A421" s="197"/>
      <c r="B421" s="133"/>
      <c r="C421" s="133"/>
      <c r="D421" s="197"/>
      <c r="E421" s="133"/>
      <c r="F421" s="198"/>
      <c r="G421" s="198"/>
      <c r="H421" s="200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  <c r="AB421" s="133"/>
      <c r="AC421" s="133"/>
      <c r="AD421" s="133"/>
      <c r="AE421" s="133"/>
      <c r="AF421" s="133"/>
    </row>
    <row r="422">
      <c r="A422" s="197"/>
      <c r="B422" s="133"/>
      <c r="C422" s="133"/>
      <c r="D422" s="197"/>
      <c r="E422" s="133"/>
      <c r="F422" s="198"/>
      <c r="G422" s="198"/>
      <c r="H422" s="200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  <c r="AB422" s="133"/>
      <c r="AC422" s="133"/>
      <c r="AD422" s="133"/>
      <c r="AE422" s="133"/>
      <c r="AF422" s="133"/>
    </row>
    <row r="423">
      <c r="A423" s="197"/>
      <c r="B423" s="133"/>
      <c r="C423" s="133"/>
      <c r="D423" s="197"/>
      <c r="E423" s="133"/>
      <c r="F423" s="198"/>
      <c r="G423" s="198"/>
      <c r="H423" s="200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</row>
    <row r="424">
      <c r="A424" s="197"/>
      <c r="B424" s="133"/>
      <c r="C424" s="133"/>
      <c r="D424" s="197"/>
      <c r="E424" s="133"/>
      <c r="F424" s="198"/>
      <c r="G424" s="198"/>
      <c r="H424" s="200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  <c r="AB424" s="133"/>
      <c r="AC424" s="133"/>
      <c r="AD424" s="133"/>
      <c r="AE424" s="133"/>
      <c r="AF424" s="133"/>
    </row>
    <row r="425">
      <c r="A425" s="197"/>
      <c r="B425" s="133"/>
      <c r="C425" s="133"/>
      <c r="D425" s="197"/>
      <c r="E425" s="133"/>
      <c r="F425" s="198"/>
      <c r="G425" s="198"/>
      <c r="H425" s="200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  <c r="AB425" s="133"/>
      <c r="AC425" s="133"/>
      <c r="AD425" s="133"/>
      <c r="AE425" s="133"/>
      <c r="AF425" s="133"/>
    </row>
    <row r="426">
      <c r="A426" s="197"/>
      <c r="B426" s="133"/>
      <c r="C426" s="133"/>
      <c r="D426" s="197"/>
      <c r="E426" s="133"/>
      <c r="F426" s="198"/>
      <c r="G426" s="198"/>
      <c r="H426" s="200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  <c r="AB426" s="133"/>
      <c r="AC426" s="133"/>
      <c r="AD426" s="133"/>
      <c r="AE426" s="133"/>
      <c r="AF426" s="133"/>
    </row>
    <row r="427">
      <c r="A427" s="197"/>
      <c r="B427" s="133"/>
      <c r="C427" s="133"/>
      <c r="D427" s="197"/>
      <c r="E427" s="133"/>
      <c r="F427" s="198"/>
      <c r="G427" s="198"/>
      <c r="H427" s="200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  <c r="AB427" s="133"/>
      <c r="AC427" s="133"/>
      <c r="AD427" s="133"/>
      <c r="AE427" s="133"/>
      <c r="AF427" s="133"/>
    </row>
    <row r="428">
      <c r="A428" s="197"/>
      <c r="B428" s="133"/>
      <c r="C428" s="133"/>
      <c r="D428" s="197"/>
      <c r="E428" s="133"/>
      <c r="F428" s="198"/>
      <c r="G428" s="198"/>
      <c r="H428" s="200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  <c r="AC428" s="133"/>
      <c r="AD428" s="133"/>
      <c r="AE428" s="133"/>
      <c r="AF428" s="133"/>
    </row>
    <row r="429">
      <c r="A429" s="197"/>
      <c r="B429" s="133"/>
      <c r="C429" s="133"/>
      <c r="D429" s="197"/>
      <c r="E429" s="133"/>
      <c r="F429" s="198"/>
      <c r="G429" s="198"/>
      <c r="H429" s="200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  <c r="AC429" s="133"/>
      <c r="AD429" s="133"/>
      <c r="AE429" s="133"/>
      <c r="AF429" s="133"/>
    </row>
    <row r="430">
      <c r="A430" s="197"/>
      <c r="B430" s="133"/>
      <c r="C430" s="133"/>
      <c r="D430" s="197"/>
      <c r="E430" s="133"/>
      <c r="F430" s="198"/>
      <c r="G430" s="198"/>
      <c r="H430" s="200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  <c r="AC430" s="133"/>
      <c r="AD430" s="133"/>
      <c r="AE430" s="133"/>
      <c r="AF430" s="133"/>
    </row>
    <row r="431">
      <c r="A431" s="197"/>
      <c r="B431" s="133"/>
      <c r="C431" s="133"/>
      <c r="D431" s="197"/>
      <c r="E431" s="133"/>
      <c r="F431" s="198"/>
      <c r="G431" s="198"/>
      <c r="H431" s="200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  <c r="AB431" s="133"/>
      <c r="AC431" s="133"/>
      <c r="AD431" s="133"/>
      <c r="AE431" s="133"/>
      <c r="AF431" s="133"/>
    </row>
    <row r="432">
      <c r="A432" s="197"/>
      <c r="B432" s="133"/>
      <c r="C432" s="133"/>
      <c r="D432" s="197"/>
      <c r="E432" s="133"/>
      <c r="F432" s="198"/>
      <c r="G432" s="198"/>
      <c r="H432" s="200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  <c r="AA432" s="133"/>
      <c r="AB432" s="133"/>
      <c r="AC432" s="133"/>
      <c r="AD432" s="133"/>
      <c r="AE432" s="133"/>
      <c r="AF432" s="133"/>
    </row>
    <row r="433">
      <c r="A433" s="197"/>
      <c r="B433" s="133"/>
      <c r="C433" s="133"/>
      <c r="D433" s="197"/>
      <c r="E433" s="133"/>
      <c r="F433" s="198"/>
      <c r="G433" s="198"/>
      <c r="H433" s="200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  <c r="AA433" s="133"/>
      <c r="AB433" s="133"/>
      <c r="AC433" s="133"/>
      <c r="AD433" s="133"/>
      <c r="AE433" s="133"/>
      <c r="AF433" s="133"/>
    </row>
    <row r="434">
      <c r="A434" s="197"/>
      <c r="B434" s="133"/>
      <c r="C434" s="133"/>
      <c r="D434" s="197"/>
      <c r="E434" s="133"/>
      <c r="F434" s="198"/>
      <c r="G434" s="198"/>
      <c r="H434" s="200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  <c r="AB434" s="133"/>
      <c r="AC434" s="133"/>
      <c r="AD434" s="133"/>
      <c r="AE434" s="133"/>
      <c r="AF434" s="133"/>
    </row>
    <row r="435">
      <c r="A435" s="197"/>
      <c r="B435" s="133"/>
      <c r="C435" s="133"/>
      <c r="D435" s="197"/>
      <c r="E435" s="133"/>
      <c r="F435" s="198"/>
      <c r="G435" s="198"/>
      <c r="H435" s="200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  <c r="AB435" s="133"/>
      <c r="AC435" s="133"/>
      <c r="AD435" s="133"/>
      <c r="AE435" s="133"/>
      <c r="AF435" s="133"/>
    </row>
    <row r="436">
      <c r="A436" s="197"/>
      <c r="B436" s="133"/>
      <c r="C436" s="133"/>
      <c r="D436" s="197"/>
      <c r="E436" s="133"/>
      <c r="F436" s="198"/>
      <c r="G436" s="198"/>
      <c r="H436" s="200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3"/>
      <c r="AC436" s="133"/>
      <c r="AD436" s="133"/>
      <c r="AE436" s="133"/>
      <c r="AF436" s="133"/>
    </row>
    <row r="437">
      <c r="A437" s="197"/>
      <c r="B437" s="133"/>
      <c r="C437" s="133"/>
      <c r="D437" s="197"/>
      <c r="E437" s="133"/>
      <c r="F437" s="198"/>
      <c r="G437" s="198"/>
      <c r="H437" s="200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  <c r="AA437" s="133"/>
      <c r="AB437" s="133"/>
      <c r="AC437" s="133"/>
      <c r="AD437" s="133"/>
      <c r="AE437" s="133"/>
      <c r="AF437" s="133"/>
    </row>
    <row r="438">
      <c r="A438" s="197"/>
      <c r="B438" s="133"/>
      <c r="C438" s="133"/>
      <c r="D438" s="197"/>
      <c r="E438" s="133"/>
      <c r="F438" s="198"/>
      <c r="G438" s="198"/>
      <c r="H438" s="200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  <c r="AA438" s="133"/>
      <c r="AB438" s="133"/>
      <c r="AC438" s="133"/>
      <c r="AD438" s="133"/>
      <c r="AE438" s="133"/>
      <c r="AF438" s="133"/>
    </row>
    <row r="439">
      <c r="A439" s="197"/>
      <c r="B439" s="133"/>
      <c r="C439" s="133"/>
      <c r="D439" s="197"/>
      <c r="E439" s="133"/>
      <c r="F439" s="198"/>
      <c r="G439" s="198"/>
      <c r="H439" s="200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  <c r="AB439" s="133"/>
      <c r="AC439" s="133"/>
      <c r="AD439" s="133"/>
      <c r="AE439" s="133"/>
      <c r="AF439" s="133"/>
    </row>
    <row r="440">
      <c r="A440" s="197"/>
      <c r="B440" s="133"/>
      <c r="C440" s="133"/>
      <c r="D440" s="197"/>
      <c r="E440" s="133"/>
      <c r="F440" s="198"/>
      <c r="G440" s="198"/>
      <c r="H440" s="200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  <c r="AB440" s="133"/>
      <c r="AC440" s="133"/>
      <c r="AD440" s="133"/>
      <c r="AE440" s="133"/>
      <c r="AF440" s="133"/>
    </row>
    <row r="441">
      <c r="A441" s="197"/>
      <c r="B441" s="133"/>
      <c r="C441" s="133"/>
      <c r="D441" s="197"/>
      <c r="E441" s="133"/>
      <c r="F441" s="198"/>
      <c r="G441" s="198"/>
      <c r="H441" s="200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  <c r="AA441" s="133"/>
      <c r="AB441" s="133"/>
      <c r="AC441" s="133"/>
      <c r="AD441" s="133"/>
      <c r="AE441" s="133"/>
      <c r="AF441" s="133"/>
    </row>
    <row r="442">
      <c r="A442" s="197"/>
      <c r="B442" s="133"/>
      <c r="C442" s="133"/>
      <c r="D442" s="197"/>
      <c r="E442" s="133"/>
      <c r="F442" s="198"/>
      <c r="G442" s="198"/>
      <c r="H442" s="200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  <c r="AA442" s="133"/>
      <c r="AB442" s="133"/>
      <c r="AC442" s="133"/>
      <c r="AD442" s="133"/>
      <c r="AE442" s="133"/>
      <c r="AF442" s="133"/>
    </row>
    <row r="443">
      <c r="A443" s="197"/>
      <c r="B443" s="133"/>
      <c r="C443" s="133"/>
      <c r="D443" s="197"/>
      <c r="E443" s="133"/>
      <c r="F443" s="198"/>
      <c r="G443" s="198"/>
      <c r="H443" s="200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  <c r="AB443" s="133"/>
      <c r="AC443" s="133"/>
      <c r="AD443" s="133"/>
      <c r="AE443" s="133"/>
      <c r="AF443" s="133"/>
    </row>
    <row r="444">
      <c r="A444" s="197"/>
      <c r="B444" s="133"/>
      <c r="C444" s="133"/>
      <c r="D444" s="197"/>
      <c r="E444" s="133"/>
      <c r="F444" s="198"/>
      <c r="G444" s="198"/>
      <c r="H444" s="200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  <c r="AB444" s="133"/>
      <c r="AC444" s="133"/>
      <c r="AD444" s="133"/>
      <c r="AE444" s="133"/>
      <c r="AF444" s="133"/>
    </row>
    <row r="445">
      <c r="A445" s="197"/>
      <c r="B445" s="133"/>
      <c r="C445" s="133"/>
      <c r="D445" s="197"/>
      <c r="E445" s="133"/>
      <c r="F445" s="198"/>
      <c r="G445" s="198"/>
      <c r="H445" s="200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  <c r="AA445" s="133"/>
      <c r="AB445" s="133"/>
      <c r="AC445" s="133"/>
      <c r="AD445" s="133"/>
      <c r="AE445" s="133"/>
      <c r="AF445" s="133"/>
    </row>
    <row r="446">
      <c r="A446" s="197"/>
      <c r="B446" s="133"/>
      <c r="C446" s="133"/>
      <c r="D446" s="197"/>
      <c r="E446" s="133"/>
      <c r="F446" s="198"/>
      <c r="G446" s="198"/>
      <c r="H446" s="200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3"/>
      <c r="AC446" s="133"/>
      <c r="AD446" s="133"/>
      <c r="AE446" s="133"/>
      <c r="AF446" s="133"/>
    </row>
    <row r="447">
      <c r="A447" s="197"/>
      <c r="B447" s="133"/>
      <c r="C447" s="133"/>
      <c r="D447" s="197"/>
      <c r="E447" s="133"/>
      <c r="F447" s="198"/>
      <c r="G447" s="198"/>
      <c r="H447" s="200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  <c r="AB447" s="133"/>
      <c r="AC447" s="133"/>
      <c r="AD447" s="133"/>
      <c r="AE447" s="133"/>
      <c r="AF447" s="133"/>
    </row>
    <row r="448">
      <c r="A448" s="197"/>
      <c r="B448" s="133"/>
      <c r="C448" s="133"/>
      <c r="D448" s="197"/>
      <c r="E448" s="133"/>
      <c r="F448" s="198"/>
      <c r="G448" s="198"/>
      <c r="H448" s="200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3"/>
      <c r="AC448" s="133"/>
      <c r="AD448" s="133"/>
      <c r="AE448" s="133"/>
      <c r="AF448" s="133"/>
    </row>
    <row r="449">
      <c r="A449" s="197"/>
      <c r="B449" s="133"/>
      <c r="C449" s="133"/>
      <c r="D449" s="197"/>
      <c r="E449" s="133"/>
      <c r="F449" s="198"/>
      <c r="G449" s="198"/>
      <c r="H449" s="200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  <c r="AB449" s="133"/>
      <c r="AC449" s="133"/>
      <c r="AD449" s="133"/>
      <c r="AE449" s="133"/>
      <c r="AF449" s="133"/>
    </row>
    <row r="450">
      <c r="A450" s="197"/>
      <c r="B450" s="133"/>
      <c r="C450" s="133"/>
      <c r="D450" s="197"/>
      <c r="E450" s="133"/>
      <c r="F450" s="198"/>
      <c r="G450" s="198"/>
      <c r="H450" s="200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  <c r="AA450" s="133"/>
      <c r="AB450" s="133"/>
      <c r="AC450" s="133"/>
      <c r="AD450" s="133"/>
      <c r="AE450" s="133"/>
      <c r="AF450" s="133"/>
    </row>
    <row r="451">
      <c r="A451" s="197"/>
      <c r="B451" s="133"/>
      <c r="C451" s="133"/>
      <c r="D451" s="197"/>
      <c r="E451" s="133"/>
      <c r="F451" s="198"/>
      <c r="G451" s="198"/>
      <c r="H451" s="200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3"/>
      <c r="AC451" s="133"/>
      <c r="AD451" s="133"/>
      <c r="AE451" s="133"/>
      <c r="AF451" s="133"/>
    </row>
    <row r="452">
      <c r="A452" s="197"/>
      <c r="B452" s="133"/>
      <c r="C452" s="133"/>
      <c r="D452" s="197"/>
      <c r="E452" s="133"/>
      <c r="F452" s="198"/>
      <c r="G452" s="198"/>
      <c r="H452" s="200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  <c r="AB452" s="133"/>
      <c r="AC452" s="133"/>
      <c r="AD452" s="133"/>
      <c r="AE452" s="133"/>
      <c r="AF452" s="133"/>
    </row>
    <row r="453">
      <c r="A453" s="197"/>
      <c r="B453" s="133"/>
      <c r="C453" s="133"/>
      <c r="D453" s="197"/>
      <c r="E453" s="133"/>
      <c r="F453" s="198"/>
      <c r="G453" s="198"/>
      <c r="H453" s="200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  <c r="AA453" s="133"/>
      <c r="AB453" s="133"/>
      <c r="AC453" s="133"/>
      <c r="AD453" s="133"/>
      <c r="AE453" s="133"/>
      <c r="AF453" s="133"/>
    </row>
    <row r="454">
      <c r="A454" s="197"/>
      <c r="B454" s="133"/>
      <c r="C454" s="133"/>
      <c r="D454" s="197"/>
      <c r="E454" s="133"/>
      <c r="F454" s="198"/>
      <c r="G454" s="198"/>
      <c r="H454" s="200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  <c r="AA454" s="133"/>
      <c r="AB454" s="133"/>
      <c r="AC454" s="133"/>
      <c r="AD454" s="133"/>
      <c r="AE454" s="133"/>
      <c r="AF454" s="133"/>
    </row>
    <row r="455">
      <c r="A455" s="197"/>
      <c r="B455" s="133"/>
      <c r="C455" s="133"/>
      <c r="D455" s="197"/>
      <c r="E455" s="133"/>
      <c r="F455" s="198"/>
      <c r="G455" s="198"/>
      <c r="H455" s="200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  <c r="AA455" s="133"/>
      <c r="AB455" s="133"/>
      <c r="AC455" s="133"/>
      <c r="AD455" s="133"/>
      <c r="AE455" s="133"/>
      <c r="AF455" s="133"/>
    </row>
    <row r="456">
      <c r="A456" s="197"/>
      <c r="B456" s="133"/>
      <c r="C456" s="133"/>
      <c r="D456" s="197"/>
      <c r="E456" s="133"/>
      <c r="F456" s="198"/>
      <c r="G456" s="198"/>
      <c r="H456" s="200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  <c r="AA456" s="133"/>
      <c r="AB456" s="133"/>
      <c r="AC456" s="133"/>
      <c r="AD456" s="133"/>
      <c r="AE456" s="133"/>
      <c r="AF456" s="133"/>
    </row>
    <row r="457">
      <c r="A457" s="197"/>
      <c r="B457" s="133"/>
      <c r="C457" s="133"/>
      <c r="D457" s="197"/>
      <c r="E457" s="133"/>
      <c r="F457" s="198"/>
      <c r="G457" s="198"/>
      <c r="H457" s="200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/>
      <c r="AB457" s="133"/>
      <c r="AC457" s="133"/>
      <c r="AD457" s="133"/>
      <c r="AE457" s="133"/>
      <c r="AF457" s="133"/>
    </row>
    <row r="458">
      <c r="A458" s="197"/>
      <c r="B458" s="133"/>
      <c r="C458" s="133"/>
      <c r="D458" s="197"/>
      <c r="E458" s="133"/>
      <c r="F458" s="198"/>
      <c r="G458" s="198"/>
      <c r="H458" s="200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  <c r="AA458" s="133"/>
      <c r="AB458" s="133"/>
      <c r="AC458" s="133"/>
      <c r="AD458" s="133"/>
      <c r="AE458" s="133"/>
      <c r="AF458" s="133"/>
    </row>
    <row r="459">
      <c r="A459" s="197"/>
      <c r="B459" s="133"/>
      <c r="C459" s="133"/>
      <c r="D459" s="197"/>
      <c r="E459" s="133"/>
      <c r="F459" s="198"/>
      <c r="G459" s="198"/>
      <c r="H459" s="200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  <c r="AA459" s="133"/>
      <c r="AB459" s="133"/>
      <c r="AC459" s="133"/>
      <c r="AD459" s="133"/>
      <c r="AE459" s="133"/>
      <c r="AF459" s="133"/>
    </row>
    <row r="460">
      <c r="A460" s="197"/>
      <c r="B460" s="133"/>
      <c r="C460" s="133"/>
      <c r="D460" s="197"/>
      <c r="E460" s="133"/>
      <c r="F460" s="198"/>
      <c r="G460" s="198"/>
      <c r="H460" s="200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  <c r="AA460" s="133"/>
      <c r="AB460" s="133"/>
      <c r="AC460" s="133"/>
      <c r="AD460" s="133"/>
      <c r="AE460" s="133"/>
      <c r="AF460" s="133"/>
    </row>
    <row r="461">
      <c r="A461" s="197"/>
      <c r="B461" s="133"/>
      <c r="C461" s="133"/>
      <c r="D461" s="197"/>
      <c r="E461" s="133"/>
      <c r="F461" s="198"/>
      <c r="G461" s="198"/>
      <c r="H461" s="200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  <c r="AA461" s="133"/>
      <c r="AB461" s="133"/>
      <c r="AC461" s="133"/>
      <c r="AD461" s="133"/>
      <c r="AE461" s="133"/>
      <c r="AF461" s="133"/>
    </row>
    <row r="462">
      <c r="A462" s="197"/>
      <c r="B462" s="133"/>
      <c r="C462" s="133"/>
      <c r="D462" s="197"/>
      <c r="E462" s="133"/>
      <c r="F462" s="198"/>
      <c r="G462" s="198"/>
      <c r="H462" s="200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  <c r="AA462" s="133"/>
      <c r="AB462" s="133"/>
      <c r="AC462" s="133"/>
      <c r="AD462" s="133"/>
      <c r="AE462" s="133"/>
      <c r="AF462" s="133"/>
    </row>
    <row r="463">
      <c r="A463" s="197"/>
      <c r="B463" s="133"/>
      <c r="C463" s="133"/>
      <c r="D463" s="197"/>
      <c r="E463" s="133"/>
      <c r="F463" s="198"/>
      <c r="G463" s="198"/>
      <c r="H463" s="200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  <c r="AA463" s="133"/>
      <c r="AB463" s="133"/>
      <c r="AC463" s="133"/>
      <c r="AD463" s="133"/>
      <c r="AE463" s="133"/>
      <c r="AF463" s="133"/>
    </row>
    <row r="464">
      <c r="A464" s="197"/>
      <c r="B464" s="133"/>
      <c r="C464" s="133"/>
      <c r="D464" s="197"/>
      <c r="E464" s="133"/>
      <c r="F464" s="198"/>
      <c r="G464" s="198"/>
      <c r="H464" s="200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  <c r="AA464" s="133"/>
      <c r="AB464" s="133"/>
      <c r="AC464" s="133"/>
      <c r="AD464" s="133"/>
      <c r="AE464" s="133"/>
      <c r="AF464" s="133"/>
    </row>
    <row r="465">
      <c r="A465" s="197"/>
      <c r="B465" s="133"/>
      <c r="C465" s="133"/>
      <c r="D465" s="197"/>
      <c r="E465" s="133"/>
      <c r="F465" s="198"/>
      <c r="G465" s="198"/>
      <c r="H465" s="200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  <c r="AA465" s="133"/>
      <c r="AB465" s="133"/>
      <c r="AC465" s="133"/>
      <c r="AD465" s="133"/>
      <c r="AE465" s="133"/>
      <c r="AF465" s="133"/>
    </row>
    <row r="466">
      <c r="A466" s="197"/>
      <c r="B466" s="133"/>
      <c r="C466" s="133"/>
      <c r="D466" s="197"/>
      <c r="E466" s="133"/>
      <c r="F466" s="198"/>
      <c r="G466" s="198"/>
      <c r="H466" s="200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  <c r="AA466" s="133"/>
      <c r="AB466" s="133"/>
      <c r="AC466" s="133"/>
      <c r="AD466" s="133"/>
      <c r="AE466" s="133"/>
      <c r="AF466" s="133"/>
    </row>
    <row r="467">
      <c r="A467" s="197"/>
      <c r="B467" s="133"/>
      <c r="C467" s="133"/>
      <c r="D467" s="197"/>
      <c r="E467" s="133"/>
      <c r="F467" s="198"/>
      <c r="G467" s="198"/>
      <c r="H467" s="200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  <c r="AA467" s="133"/>
      <c r="AB467" s="133"/>
      <c r="AC467" s="133"/>
      <c r="AD467" s="133"/>
      <c r="AE467" s="133"/>
      <c r="AF467" s="133"/>
    </row>
    <row r="468">
      <c r="A468" s="197"/>
      <c r="B468" s="133"/>
      <c r="C468" s="133"/>
      <c r="D468" s="197"/>
      <c r="E468" s="133"/>
      <c r="F468" s="198"/>
      <c r="G468" s="198"/>
      <c r="H468" s="200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  <c r="AA468" s="133"/>
      <c r="AB468" s="133"/>
      <c r="AC468" s="133"/>
      <c r="AD468" s="133"/>
      <c r="AE468" s="133"/>
      <c r="AF468" s="133"/>
    </row>
    <row r="469">
      <c r="A469" s="197"/>
      <c r="B469" s="133"/>
      <c r="C469" s="133"/>
      <c r="D469" s="197"/>
      <c r="E469" s="133"/>
      <c r="F469" s="198"/>
      <c r="G469" s="198"/>
      <c r="H469" s="200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  <c r="AB469" s="133"/>
      <c r="AC469" s="133"/>
      <c r="AD469" s="133"/>
      <c r="AE469" s="133"/>
      <c r="AF469" s="133"/>
    </row>
    <row r="470">
      <c r="A470" s="197"/>
      <c r="B470" s="133"/>
      <c r="C470" s="133"/>
      <c r="D470" s="197"/>
      <c r="E470" s="133"/>
      <c r="F470" s="198"/>
      <c r="G470" s="198"/>
      <c r="H470" s="200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  <c r="AA470" s="133"/>
      <c r="AB470" s="133"/>
      <c r="AC470" s="133"/>
      <c r="AD470" s="133"/>
      <c r="AE470" s="133"/>
      <c r="AF470" s="133"/>
    </row>
    <row r="471">
      <c r="A471" s="197"/>
      <c r="B471" s="133"/>
      <c r="C471" s="133"/>
      <c r="D471" s="197"/>
      <c r="E471" s="133"/>
      <c r="F471" s="198"/>
      <c r="G471" s="198"/>
      <c r="H471" s="200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  <c r="AA471" s="133"/>
      <c r="AB471" s="133"/>
      <c r="AC471" s="133"/>
      <c r="AD471" s="133"/>
      <c r="AE471" s="133"/>
      <c r="AF471" s="133"/>
    </row>
    <row r="472">
      <c r="A472" s="197"/>
      <c r="B472" s="133"/>
      <c r="C472" s="133"/>
      <c r="D472" s="197"/>
      <c r="E472" s="133"/>
      <c r="F472" s="198"/>
      <c r="G472" s="198"/>
      <c r="H472" s="200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3"/>
      <c r="AC472" s="133"/>
      <c r="AD472" s="133"/>
      <c r="AE472" s="133"/>
      <c r="AF472" s="133"/>
    </row>
    <row r="473">
      <c r="A473" s="197"/>
      <c r="B473" s="133"/>
      <c r="C473" s="133"/>
      <c r="D473" s="197"/>
      <c r="E473" s="133"/>
      <c r="F473" s="198"/>
      <c r="G473" s="198"/>
      <c r="H473" s="200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  <c r="AA473" s="133"/>
      <c r="AB473" s="133"/>
      <c r="AC473" s="133"/>
      <c r="AD473" s="133"/>
      <c r="AE473" s="133"/>
      <c r="AF473" s="133"/>
    </row>
    <row r="474">
      <c r="A474" s="197"/>
      <c r="B474" s="133"/>
      <c r="C474" s="133"/>
      <c r="D474" s="197"/>
      <c r="E474" s="133"/>
      <c r="F474" s="198"/>
      <c r="G474" s="198"/>
      <c r="H474" s="200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  <c r="AB474" s="133"/>
      <c r="AC474" s="133"/>
      <c r="AD474" s="133"/>
      <c r="AE474" s="133"/>
      <c r="AF474" s="133"/>
    </row>
    <row r="475">
      <c r="A475" s="197"/>
      <c r="B475" s="133"/>
      <c r="C475" s="133"/>
      <c r="D475" s="197"/>
      <c r="E475" s="133"/>
      <c r="F475" s="198"/>
      <c r="G475" s="198"/>
      <c r="H475" s="200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  <c r="AA475" s="133"/>
      <c r="AB475" s="133"/>
      <c r="AC475" s="133"/>
      <c r="AD475" s="133"/>
      <c r="AE475" s="133"/>
      <c r="AF475" s="133"/>
    </row>
    <row r="476">
      <c r="A476" s="197"/>
      <c r="B476" s="133"/>
      <c r="C476" s="133"/>
      <c r="D476" s="197"/>
      <c r="E476" s="133"/>
      <c r="F476" s="198"/>
      <c r="G476" s="198"/>
      <c r="H476" s="200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</row>
    <row r="477">
      <c r="A477" s="197"/>
      <c r="B477" s="133"/>
      <c r="C477" s="133"/>
      <c r="D477" s="197"/>
      <c r="E477" s="133"/>
      <c r="F477" s="198"/>
      <c r="G477" s="198"/>
      <c r="H477" s="200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  <c r="AA477" s="133"/>
      <c r="AB477" s="133"/>
      <c r="AC477" s="133"/>
      <c r="AD477" s="133"/>
      <c r="AE477" s="133"/>
      <c r="AF477" s="133"/>
    </row>
    <row r="478">
      <c r="A478" s="197"/>
      <c r="B478" s="133"/>
      <c r="C478" s="133"/>
      <c r="D478" s="197"/>
      <c r="E478" s="133"/>
      <c r="F478" s="198"/>
      <c r="G478" s="198"/>
      <c r="H478" s="200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  <c r="AB478" s="133"/>
      <c r="AC478" s="133"/>
      <c r="AD478" s="133"/>
      <c r="AE478" s="133"/>
      <c r="AF478" s="133"/>
    </row>
    <row r="479">
      <c r="A479" s="197"/>
      <c r="B479" s="133"/>
      <c r="C479" s="133"/>
      <c r="D479" s="197"/>
      <c r="E479" s="133"/>
      <c r="F479" s="198"/>
      <c r="G479" s="198"/>
      <c r="H479" s="200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  <c r="AB479" s="133"/>
      <c r="AC479" s="133"/>
      <c r="AD479" s="133"/>
      <c r="AE479" s="133"/>
      <c r="AF479" s="133"/>
    </row>
    <row r="480">
      <c r="A480" s="197"/>
      <c r="B480" s="133"/>
      <c r="C480" s="133"/>
      <c r="D480" s="197"/>
      <c r="E480" s="133"/>
      <c r="F480" s="198"/>
      <c r="G480" s="198"/>
      <c r="H480" s="200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  <c r="AC480" s="133"/>
      <c r="AD480" s="133"/>
      <c r="AE480" s="133"/>
      <c r="AF480" s="133"/>
    </row>
    <row r="481">
      <c r="A481" s="197"/>
      <c r="B481" s="133"/>
      <c r="C481" s="133"/>
      <c r="D481" s="197"/>
      <c r="E481" s="133"/>
      <c r="F481" s="198"/>
      <c r="G481" s="198"/>
      <c r="H481" s="200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  <c r="AB481" s="133"/>
      <c r="AC481" s="133"/>
      <c r="AD481" s="133"/>
      <c r="AE481" s="133"/>
      <c r="AF481" s="133"/>
    </row>
    <row r="482">
      <c r="A482" s="197"/>
      <c r="B482" s="133"/>
      <c r="C482" s="133"/>
      <c r="D482" s="197"/>
      <c r="E482" s="133"/>
      <c r="F482" s="198"/>
      <c r="G482" s="198"/>
      <c r="H482" s="200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  <c r="AA482" s="133"/>
      <c r="AB482" s="133"/>
      <c r="AC482" s="133"/>
      <c r="AD482" s="133"/>
      <c r="AE482" s="133"/>
      <c r="AF482" s="133"/>
    </row>
    <row r="483">
      <c r="A483" s="197"/>
      <c r="B483" s="133"/>
      <c r="C483" s="133"/>
      <c r="D483" s="197"/>
      <c r="E483" s="133"/>
      <c r="F483" s="198"/>
      <c r="G483" s="198"/>
      <c r="H483" s="200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  <c r="AA483" s="133"/>
      <c r="AB483" s="133"/>
      <c r="AC483" s="133"/>
      <c r="AD483" s="133"/>
      <c r="AE483" s="133"/>
      <c r="AF483" s="133"/>
    </row>
    <row r="484">
      <c r="A484" s="197"/>
      <c r="B484" s="133"/>
      <c r="C484" s="133"/>
      <c r="D484" s="197"/>
      <c r="E484" s="133"/>
      <c r="F484" s="198"/>
      <c r="G484" s="198"/>
      <c r="H484" s="200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  <c r="AA484" s="133"/>
      <c r="AB484" s="133"/>
      <c r="AC484" s="133"/>
      <c r="AD484" s="133"/>
      <c r="AE484" s="133"/>
      <c r="AF484" s="133"/>
    </row>
    <row r="485">
      <c r="A485" s="197"/>
      <c r="B485" s="133"/>
      <c r="C485" s="133"/>
      <c r="D485" s="197"/>
      <c r="E485" s="133"/>
      <c r="F485" s="198"/>
      <c r="G485" s="198"/>
      <c r="H485" s="200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  <c r="AA485" s="133"/>
      <c r="AB485" s="133"/>
      <c r="AC485" s="133"/>
      <c r="AD485" s="133"/>
      <c r="AE485" s="133"/>
      <c r="AF485" s="133"/>
    </row>
    <row r="486">
      <c r="A486" s="197"/>
      <c r="B486" s="133"/>
      <c r="C486" s="133"/>
      <c r="D486" s="197"/>
      <c r="E486" s="133"/>
      <c r="F486" s="198"/>
      <c r="G486" s="198"/>
      <c r="H486" s="200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  <c r="AA486" s="133"/>
      <c r="AB486" s="133"/>
      <c r="AC486" s="133"/>
      <c r="AD486" s="133"/>
      <c r="AE486" s="133"/>
      <c r="AF486" s="133"/>
    </row>
    <row r="487">
      <c r="A487" s="197"/>
      <c r="B487" s="133"/>
      <c r="C487" s="133"/>
      <c r="D487" s="197"/>
      <c r="E487" s="133"/>
      <c r="F487" s="198"/>
      <c r="G487" s="198"/>
      <c r="H487" s="200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3"/>
      <c r="AC487" s="133"/>
      <c r="AD487" s="133"/>
      <c r="AE487" s="133"/>
      <c r="AF487" s="133"/>
    </row>
    <row r="488">
      <c r="A488" s="197"/>
      <c r="B488" s="133"/>
      <c r="C488" s="133"/>
      <c r="D488" s="197"/>
      <c r="E488" s="133"/>
      <c r="F488" s="198"/>
      <c r="G488" s="198"/>
      <c r="H488" s="200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  <c r="AA488" s="133"/>
      <c r="AB488" s="133"/>
      <c r="AC488" s="133"/>
      <c r="AD488" s="133"/>
      <c r="AE488" s="133"/>
      <c r="AF488" s="133"/>
    </row>
    <row r="489">
      <c r="A489" s="197"/>
      <c r="B489" s="133"/>
      <c r="C489" s="133"/>
      <c r="D489" s="197"/>
      <c r="E489" s="133"/>
      <c r="F489" s="198"/>
      <c r="G489" s="198"/>
      <c r="H489" s="200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  <c r="AA489" s="133"/>
      <c r="AB489" s="133"/>
      <c r="AC489" s="133"/>
      <c r="AD489" s="133"/>
      <c r="AE489" s="133"/>
      <c r="AF489" s="133"/>
    </row>
    <row r="490">
      <c r="A490" s="197"/>
      <c r="B490" s="133"/>
      <c r="C490" s="133"/>
      <c r="D490" s="197"/>
      <c r="E490" s="133"/>
      <c r="F490" s="198"/>
      <c r="G490" s="198"/>
      <c r="H490" s="200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3"/>
      <c r="AC490" s="133"/>
      <c r="AD490" s="133"/>
      <c r="AE490" s="133"/>
      <c r="AF490" s="133"/>
    </row>
    <row r="491">
      <c r="A491" s="197"/>
      <c r="B491" s="133"/>
      <c r="C491" s="133"/>
      <c r="D491" s="197"/>
      <c r="E491" s="133"/>
      <c r="F491" s="198"/>
      <c r="G491" s="198"/>
      <c r="H491" s="200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  <c r="AB491" s="133"/>
      <c r="AC491" s="133"/>
      <c r="AD491" s="133"/>
      <c r="AE491" s="133"/>
      <c r="AF491" s="133"/>
    </row>
    <row r="492">
      <c r="A492" s="197"/>
      <c r="B492" s="133"/>
      <c r="C492" s="133"/>
      <c r="D492" s="197"/>
      <c r="E492" s="133"/>
      <c r="F492" s="198"/>
      <c r="G492" s="198"/>
      <c r="H492" s="200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3"/>
      <c r="AC492" s="133"/>
      <c r="AD492" s="133"/>
      <c r="AE492" s="133"/>
      <c r="AF492" s="133"/>
    </row>
    <row r="493">
      <c r="A493" s="197"/>
      <c r="B493" s="133"/>
      <c r="C493" s="133"/>
      <c r="D493" s="197"/>
      <c r="E493" s="133"/>
      <c r="F493" s="198"/>
      <c r="G493" s="198"/>
      <c r="H493" s="200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  <c r="AA493" s="133"/>
      <c r="AB493" s="133"/>
      <c r="AC493" s="133"/>
      <c r="AD493" s="133"/>
      <c r="AE493" s="133"/>
      <c r="AF493" s="133"/>
    </row>
    <row r="494">
      <c r="A494" s="197"/>
      <c r="B494" s="133"/>
      <c r="C494" s="133"/>
      <c r="D494" s="197"/>
      <c r="E494" s="133"/>
      <c r="F494" s="198"/>
      <c r="G494" s="198"/>
      <c r="H494" s="200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  <c r="AB494" s="133"/>
      <c r="AC494" s="133"/>
      <c r="AD494" s="133"/>
      <c r="AE494" s="133"/>
      <c r="AF494" s="133"/>
    </row>
    <row r="495">
      <c r="A495" s="197"/>
      <c r="B495" s="133"/>
      <c r="C495" s="133"/>
      <c r="D495" s="197"/>
      <c r="E495" s="133"/>
      <c r="F495" s="198"/>
      <c r="G495" s="198"/>
      <c r="H495" s="200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  <c r="AA495" s="133"/>
      <c r="AB495" s="133"/>
      <c r="AC495" s="133"/>
      <c r="AD495" s="133"/>
      <c r="AE495" s="133"/>
      <c r="AF495" s="133"/>
    </row>
    <row r="496">
      <c r="A496" s="197"/>
      <c r="B496" s="133"/>
      <c r="C496" s="133"/>
      <c r="D496" s="197"/>
      <c r="E496" s="133"/>
      <c r="F496" s="198"/>
      <c r="G496" s="198"/>
      <c r="H496" s="200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  <c r="AA496" s="133"/>
      <c r="AB496" s="133"/>
      <c r="AC496" s="133"/>
      <c r="AD496" s="133"/>
      <c r="AE496" s="133"/>
      <c r="AF496" s="133"/>
    </row>
    <row r="497">
      <c r="A497" s="197"/>
      <c r="B497" s="133"/>
      <c r="C497" s="133"/>
      <c r="D497" s="197"/>
      <c r="E497" s="133"/>
      <c r="F497" s="198"/>
      <c r="G497" s="198"/>
      <c r="H497" s="200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  <c r="AA497" s="133"/>
      <c r="AB497" s="133"/>
      <c r="AC497" s="133"/>
      <c r="AD497" s="133"/>
      <c r="AE497" s="133"/>
      <c r="AF497" s="133"/>
    </row>
    <row r="498">
      <c r="A498" s="197"/>
      <c r="B498" s="133"/>
      <c r="C498" s="133"/>
      <c r="D498" s="197"/>
      <c r="E498" s="133"/>
      <c r="F498" s="198"/>
      <c r="G498" s="198"/>
      <c r="H498" s="200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  <c r="AA498" s="133"/>
      <c r="AB498" s="133"/>
      <c r="AC498" s="133"/>
      <c r="AD498" s="133"/>
      <c r="AE498" s="133"/>
      <c r="AF498" s="133"/>
    </row>
    <row r="499">
      <c r="A499" s="197"/>
      <c r="B499" s="133"/>
      <c r="C499" s="133"/>
      <c r="D499" s="197"/>
      <c r="E499" s="133"/>
      <c r="F499" s="198"/>
      <c r="G499" s="198"/>
      <c r="H499" s="200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  <c r="AA499" s="133"/>
      <c r="AB499" s="133"/>
      <c r="AC499" s="133"/>
      <c r="AD499" s="133"/>
      <c r="AE499" s="133"/>
      <c r="AF499" s="133"/>
    </row>
    <row r="500">
      <c r="A500" s="197"/>
      <c r="B500" s="133"/>
      <c r="C500" s="133"/>
      <c r="D500" s="197"/>
      <c r="E500" s="133"/>
      <c r="F500" s="198"/>
      <c r="G500" s="198"/>
      <c r="H500" s="200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  <c r="AA500" s="133"/>
      <c r="AB500" s="133"/>
      <c r="AC500" s="133"/>
      <c r="AD500" s="133"/>
      <c r="AE500" s="133"/>
      <c r="AF500" s="133"/>
    </row>
    <row r="501">
      <c r="A501" s="197"/>
      <c r="B501" s="133"/>
      <c r="C501" s="133"/>
      <c r="D501" s="197"/>
      <c r="E501" s="133"/>
      <c r="F501" s="198"/>
      <c r="G501" s="198"/>
      <c r="H501" s="200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  <c r="AA501" s="133"/>
      <c r="AB501" s="133"/>
      <c r="AC501" s="133"/>
      <c r="AD501" s="133"/>
      <c r="AE501" s="133"/>
      <c r="AF501" s="133"/>
    </row>
    <row r="502">
      <c r="A502" s="197"/>
      <c r="B502" s="133"/>
      <c r="C502" s="133"/>
      <c r="D502" s="197"/>
      <c r="E502" s="133"/>
      <c r="F502" s="198"/>
      <c r="G502" s="198"/>
      <c r="H502" s="200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  <c r="AA502" s="133"/>
      <c r="AB502" s="133"/>
      <c r="AC502" s="133"/>
      <c r="AD502" s="133"/>
      <c r="AE502" s="133"/>
      <c r="AF502" s="133"/>
    </row>
    <row r="503">
      <c r="A503" s="197"/>
      <c r="B503" s="133"/>
      <c r="C503" s="133"/>
      <c r="D503" s="197"/>
      <c r="E503" s="133"/>
      <c r="F503" s="198"/>
      <c r="G503" s="198"/>
      <c r="H503" s="200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  <c r="AA503" s="133"/>
      <c r="AB503" s="133"/>
      <c r="AC503" s="133"/>
      <c r="AD503" s="133"/>
      <c r="AE503" s="133"/>
      <c r="AF503" s="133"/>
    </row>
    <row r="504">
      <c r="A504" s="197"/>
      <c r="B504" s="133"/>
      <c r="C504" s="133"/>
      <c r="D504" s="197"/>
      <c r="E504" s="133"/>
      <c r="F504" s="198"/>
      <c r="G504" s="198"/>
      <c r="H504" s="200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  <c r="AA504" s="133"/>
      <c r="AB504" s="133"/>
      <c r="AC504" s="133"/>
      <c r="AD504" s="133"/>
      <c r="AE504" s="133"/>
      <c r="AF504" s="133"/>
    </row>
    <row r="505">
      <c r="A505" s="197"/>
      <c r="B505" s="133"/>
      <c r="C505" s="133"/>
      <c r="D505" s="197"/>
      <c r="E505" s="133"/>
      <c r="F505" s="198"/>
      <c r="G505" s="198"/>
      <c r="H505" s="200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  <c r="AA505" s="133"/>
      <c r="AB505" s="133"/>
      <c r="AC505" s="133"/>
      <c r="AD505" s="133"/>
      <c r="AE505" s="133"/>
      <c r="AF505" s="133"/>
    </row>
    <row r="506">
      <c r="A506" s="197"/>
      <c r="B506" s="133"/>
      <c r="C506" s="133"/>
      <c r="D506" s="197"/>
      <c r="E506" s="133"/>
      <c r="F506" s="198"/>
      <c r="G506" s="198"/>
      <c r="H506" s="200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  <c r="AA506" s="133"/>
      <c r="AB506" s="133"/>
      <c r="AC506" s="133"/>
      <c r="AD506" s="133"/>
      <c r="AE506" s="133"/>
      <c r="AF506" s="133"/>
    </row>
    <row r="507">
      <c r="A507" s="197"/>
      <c r="B507" s="133"/>
      <c r="C507" s="133"/>
      <c r="D507" s="197"/>
      <c r="E507" s="133"/>
      <c r="F507" s="198"/>
      <c r="G507" s="198"/>
      <c r="H507" s="200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  <c r="AA507" s="133"/>
      <c r="AB507" s="133"/>
      <c r="AC507" s="133"/>
      <c r="AD507" s="133"/>
      <c r="AE507" s="133"/>
      <c r="AF507" s="133"/>
    </row>
    <row r="508">
      <c r="A508" s="197"/>
      <c r="B508" s="133"/>
      <c r="C508" s="133"/>
      <c r="D508" s="197"/>
      <c r="E508" s="133"/>
      <c r="F508" s="198"/>
      <c r="G508" s="198"/>
      <c r="H508" s="200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  <c r="AA508" s="133"/>
      <c r="AB508" s="133"/>
      <c r="AC508" s="133"/>
      <c r="AD508" s="133"/>
      <c r="AE508" s="133"/>
      <c r="AF508" s="133"/>
    </row>
    <row r="509">
      <c r="A509" s="197"/>
      <c r="B509" s="133"/>
      <c r="C509" s="133"/>
      <c r="D509" s="197"/>
      <c r="E509" s="133"/>
      <c r="F509" s="198"/>
      <c r="G509" s="198"/>
      <c r="H509" s="200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  <c r="AA509" s="133"/>
      <c r="AB509" s="133"/>
      <c r="AC509" s="133"/>
      <c r="AD509" s="133"/>
      <c r="AE509" s="133"/>
      <c r="AF509" s="133"/>
    </row>
    <row r="510">
      <c r="A510" s="197"/>
      <c r="B510" s="133"/>
      <c r="C510" s="133"/>
      <c r="D510" s="197"/>
      <c r="E510" s="133"/>
      <c r="F510" s="198"/>
      <c r="G510" s="198"/>
      <c r="H510" s="200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  <c r="AA510" s="133"/>
      <c r="AB510" s="133"/>
      <c r="AC510" s="133"/>
      <c r="AD510" s="133"/>
      <c r="AE510" s="133"/>
      <c r="AF510" s="133"/>
    </row>
    <row r="511">
      <c r="A511" s="197"/>
      <c r="B511" s="133"/>
      <c r="C511" s="133"/>
      <c r="D511" s="197"/>
      <c r="E511" s="133"/>
      <c r="F511" s="198"/>
      <c r="G511" s="198"/>
      <c r="H511" s="200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  <c r="AA511" s="133"/>
      <c r="AB511" s="133"/>
      <c r="AC511" s="133"/>
      <c r="AD511" s="133"/>
      <c r="AE511" s="133"/>
      <c r="AF511" s="133"/>
    </row>
    <row r="512">
      <c r="A512" s="197"/>
      <c r="B512" s="133"/>
      <c r="C512" s="133"/>
      <c r="D512" s="197"/>
      <c r="E512" s="133"/>
      <c r="F512" s="198"/>
      <c r="G512" s="198"/>
      <c r="H512" s="200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/>
      <c r="AB512" s="133"/>
      <c r="AC512" s="133"/>
      <c r="AD512" s="133"/>
      <c r="AE512" s="133"/>
      <c r="AF512" s="133"/>
    </row>
    <row r="513">
      <c r="A513" s="197"/>
      <c r="B513" s="133"/>
      <c r="C513" s="133"/>
      <c r="D513" s="197"/>
      <c r="E513" s="133"/>
      <c r="F513" s="198"/>
      <c r="G513" s="198"/>
      <c r="H513" s="200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  <c r="AA513" s="133"/>
      <c r="AB513" s="133"/>
      <c r="AC513" s="133"/>
      <c r="AD513" s="133"/>
      <c r="AE513" s="133"/>
      <c r="AF513" s="133"/>
    </row>
    <row r="514">
      <c r="A514" s="197"/>
      <c r="B514" s="133"/>
      <c r="C514" s="133"/>
      <c r="D514" s="197"/>
      <c r="E514" s="133"/>
      <c r="F514" s="198"/>
      <c r="G514" s="198"/>
      <c r="H514" s="200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  <c r="AA514" s="133"/>
      <c r="AB514" s="133"/>
      <c r="AC514" s="133"/>
      <c r="AD514" s="133"/>
      <c r="AE514" s="133"/>
      <c r="AF514" s="133"/>
    </row>
    <row r="515">
      <c r="A515" s="197"/>
      <c r="B515" s="133"/>
      <c r="C515" s="133"/>
      <c r="D515" s="197"/>
      <c r="E515" s="133"/>
      <c r="F515" s="198"/>
      <c r="G515" s="198"/>
      <c r="H515" s="200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  <c r="AA515" s="133"/>
      <c r="AB515" s="133"/>
      <c r="AC515" s="133"/>
      <c r="AD515" s="133"/>
      <c r="AE515" s="133"/>
      <c r="AF515" s="133"/>
    </row>
    <row r="516">
      <c r="A516" s="197"/>
      <c r="B516" s="133"/>
      <c r="C516" s="133"/>
      <c r="D516" s="197"/>
      <c r="E516" s="133"/>
      <c r="F516" s="198"/>
      <c r="G516" s="198"/>
      <c r="H516" s="200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  <c r="AA516" s="133"/>
      <c r="AB516" s="133"/>
      <c r="AC516" s="133"/>
      <c r="AD516" s="133"/>
      <c r="AE516" s="133"/>
      <c r="AF516" s="133"/>
    </row>
    <row r="517">
      <c r="A517" s="197"/>
      <c r="B517" s="133"/>
      <c r="C517" s="133"/>
      <c r="D517" s="197"/>
      <c r="E517" s="133"/>
      <c r="F517" s="198"/>
      <c r="G517" s="198"/>
      <c r="H517" s="200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  <c r="AA517" s="133"/>
      <c r="AB517" s="133"/>
      <c r="AC517" s="133"/>
      <c r="AD517" s="133"/>
      <c r="AE517" s="133"/>
      <c r="AF517" s="133"/>
    </row>
    <row r="518">
      <c r="A518" s="197"/>
      <c r="B518" s="133"/>
      <c r="C518" s="133"/>
      <c r="D518" s="197"/>
      <c r="E518" s="133"/>
      <c r="F518" s="198"/>
      <c r="G518" s="198"/>
      <c r="H518" s="200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  <c r="AA518" s="133"/>
      <c r="AB518" s="133"/>
      <c r="AC518" s="133"/>
      <c r="AD518" s="133"/>
      <c r="AE518" s="133"/>
      <c r="AF518" s="133"/>
    </row>
    <row r="519">
      <c r="A519" s="197"/>
      <c r="B519" s="133"/>
      <c r="C519" s="133"/>
      <c r="D519" s="197"/>
      <c r="E519" s="133"/>
      <c r="F519" s="198"/>
      <c r="G519" s="198"/>
      <c r="H519" s="200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  <c r="AA519" s="133"/>
      <c r="AB519" s="133"/>
      <c r="AC519" s="133"/>
      <c r="AD519" s="133"/>
      <c r="AE519" s="133"/>
      <c r="AF519" s="133"/>
    </row>
    <row r="520">
      <c r="A520" s="197"/>
      <c r="B520" s="133"/>
      <c r="C520" s="133"/>
      <c r="D520" s="197"/>
      <c r="E520" s="133"/>
      <c r="F520" s="198"/>
      <c r="G520" s="198"/>
      <c r="H520" s="200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  <c r="AA520" s="133"/>
      <c r="AB520" s="133"/>
      <c r="AC520" s="133"/>
      <c r="AD520" s="133"/>
      <c r="AE520" s="133"/>
      <c r="AF520" s="133"/>
    </row>
    <row r="521">
      <c r="A521" s="197"/>
      <c r="B521" s="133"/>
      <c r="C521" s="133"/>
      <c r="D521" s="197"/>
      <c r="E521" s="133"/>
      <c r="F521" s="198"/>
      <c r="G521" s="198"/>
      <c r="H521" s="200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  <c r="AA521" s="133"/>
      <c r="AB521" s="133"/>
      <c r="AC521" s="133"/>
      <c r="AD521" s="133"/>
      <c r="AE521" s="133"/>
      <c r="AF521" s="133"/>
    </row>
    <row r="522">
      <c r="A522" s="197"/>
      <c r="B522" s="133"/>
      <c r="C522" s="133"/>
      <c r="D522" s="197"/>
      <c r="E522" s="133"/>
      <c r="F522" s="198"/>
      <c r="G522" s="198"/>
      <c r="H522" s="200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  <c r="AA522" s="133"/>
      <c r="AB522" s="133"/>
      <c r="AC522" s="133"/>
      <c r="AD522" s="133"/>
      <c r="AE522" s="133"/>
      <c r="AF522" s="133"/>
    </row>
    <row r="523">
      <c r="A523" s="197"/>
      <c r="B523" s="133"/>
      <c r="C523" s="133"/>
      <c r="D523" s="197"/>
      <c r="E523" s="133"/>
      <c r="F523" s="198"/>
      <c r="G523" s="198"/>
      <c r="H523" s="200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  <c r="AA523" s="133"/>
      <c r="AB523" s="133"/>
      <c r="AC523" s="133"/>
      <c r="AD523" s="133"/>
      <c r="AE523" s="133"/>
      <c r="AF523" s="133"/>
    </row>
    <row r="524">
      <c r="A524" s="197"/>
      <c r="B524" s="133"/>
      <c r="C524" s="133"/>
      <c r="D524" s="197"/>
      <c r="E524" s="133"/>
      <c r="F524" s="198"/>
      <c r="G524" s="198"/>
      <c r="H524" s="200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  <c r="AA524" s="133"/>
      <c r="AB524" s="133"/>
      <c r="AC524" s="133"/>
      <c r="AD524" s="133"/>
      <c r="AE524" s="133"/>
      <c r="AF524" s="133"/>
    </row>
    <row r="525">
      <c r="A525" s="197"/>
      <c r="B525" s="133"/>
      <c r="C525" s="133"/>
      <c r="D525" s="197"/>
      <c r="E525" s="133"/>
      <c r="F525" s="198"/>
      <c r="G525" s="198"/>
      <c r="H525" s="200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  <c r="AA525" s="133"/>
      <c r="AB525" s="133"/>
      <c r="AC525" s="133"/>
      <c r="AD525" s="133"/>
      <c r="AE525" s="133"/>
      <c r="AF525" s="133"/>
    </row>
    <row r="526">
      <c r="A526" s="197"/>
      <c r="B526" s="133"/>
      <c r="C526" s="133"/>
      <c r="D526" s="197"/>
      <c r="E526" s="133"/>
      <c r="F526" s="198"/>
      <c r="G526" s="198"/>
      <c r="H526" s="200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  <c r="AA526" s="133"/>
      <c r="AB526" s="133"/>
      <c r="AC526" s="133"/>
      <c r="AD526" s="133"/>
      <c r="AE526" s="133"/>
      <c r="AF526" s="133"/>
    </row>
    <row r="527">
      <c r="A527" s="197"/>
      <c r="B527" s="133"/>
      <c r="C527" s="133"/>
      <c r="D527" s="197"/>
      <c r="E527" s="133"/>
      <c r="F527" s="198"/>
      <c r="G527" s="198"/>
      <c r="H527" s="200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  <c r="AA527" s="133"/>
      <c r="AB527" s="133"/>
      <c r="AC527" s="133"/>
      <c r="AD527" s="133"/>
      <c r="AE527" s="133"/>
      <c r="AF527" s="133"/>
    </row>
    <row r="528">
      <c r="A528" s="197"/>
      <c r="B528" s="133"/>
      <c r="C528" s="133"/>
      <c r="D528" s="197"/>
      <c r="E528" s="133"/>
      <c r="F528" s="198"/>
      <c r="G528" s="198"/>
      <c r="H528" s="200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  <c r="AA528" s="133"/>
      <c r="AB528" s="133"/>
      <c r="AC528" s="133"/>
      <c r="AD528" s="133"/>
      <c r="AE528" s="133"/>
      <c r="AF528" s="133"/>
    </row>
    <row r="529">
      <c r="A529" s="197"/>
      <c r="B529" s="133"/>
      <c r="C529" s="133"/>
      <c r="D529" s="197"/>
      <c r="E529" s="133"/>
      <c r="F529" s="198"/>
      <c r="G529" s="198"/>
      <c r="H529" s="200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</row>
    <row r="530">
      <c r="A530" s="197"/>
      <c r="B530" s="133"/>
      <c r="C530" s="133"/>
      <c r="D530" s="197"/>
      <c r="E530" s="133"/>
      <c r="F530" s="198"/>
      <c r="G530" s="198"/>
      <c r="H530" s="200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  <c r="AA530" s="133"/>
      <c r="AB530" s="133"/>
      <c r="AC530" s="133"/>
      <c r="AD530" s="133"/>
      <c r="AE530" s="133"/>
      <c r="AF530" s="133"/>
    </row>
    <row r="531">
      <c r="A531" s="197"/>
      <c r="B531" s="133"/>
      <c r="C531" s="133"/>
      <c r="D531" s="197"/>
      <c r="E531" s="133"/>
      <c r="F531" s="198"/>
      <c r="G531" s="198"/>
      <c r="H531" s="200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  <c r="AA531" s="133"/>
      <c r="AB531" s="133"/>
      <c r="AC531" s="133"/>
      <c r="AD531" s="133"/>
      <c r="AE531" s="133"/>
      <c r="AF531" s="133"/>
    </row>
    <row r="532">
      <c r="A532" s="197"/>
      <c r="B532" s="133"/>
      <c r="C532" s="133"/>
      <c r="D532" s="197"/>
      <c r="E532" s="133"/>
      <c r="F532" s="198"/>
      <c r="G532" s="198"/>
      <c r="H532" s="200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  <c r="AA532" s="133"/>
      <c r="AB532" s="133"/>
      <c r="AC532" s="133"/>
      <c r="AD532" s="133"/>
      <c r="AE532" s="133"/>
      <c r="AF532" s="133"/>
    </row>
    <row r="533">
      <c r="A533" s="197"/>
      <c r="B533" s="133"/>
      <c r="C533" s="133"/>
      <c r="D533" s="197"/>
      <c r="E533" s="133"/>
      <c r="F533" s="198"/>
      <c r="G533" s="198"/>
      <c r="H533" s="200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  <c r="AA533" s="133"/>
      <c r="AB533" s="133"/>
      <c r="AC533" s="133"/>
      <c r="AD533" s="133"/>
      <c r="AE533" s="133"/>
      <c r="AF533" s="133"/>
    </row>
    <row r="534">
      <c r="A534" s="197"/>
      <c r="B534" s="133"/>
      <c r="C534" s="133"/>
      <c r="D534" s="197"/>
      <c r="E534" s="133"/>
      <c r="F534" s="198"/>
      <c r="G534" s="198"/>
      <c r="H534" s="200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  <c r="AA534" s="133"/>
      <c r="AB534" s="133"/>
      <c r="AC534" s="133"/>
      <c r="AD534" s="133"/>
      <c r="AE534" s="133"/>
      <c r="AF534" s="133"/>
    </row>
    <row r="535">
      <c r="A535" s="197"/>
      <c r="B535" s="133"/>
      <c r="C535" s="133"/>
      <c r="D535" s="197"/>
      <c r="E535" s="133"/>
      <c r="F535" s="198"/>
      <c r="G535" s="198"/>
      <c r="H535" s="200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  <c r="AA535" s="133"/>
      <c r="AB535" s="133"/>
      <c r="AC535" s="133"/>
      <c r="AD535" s="133"/>
      <c r="AE535" s="133"/>
      <c r="AF535" s="133"/>
    </row>
    <row r="536">
      <c r="A536" s="197"/>
      <c r="B536" s="133"/>
      <c r="C536" s="133"/>
      <c r="D536" s="197"/>
      <c r="E536" s="133"/>
      <c r="F536" s="198"/>
      <c r="G536" s="198"/>
      <c r="H536" s="200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  <c r="AA536" s="133"/>
      <c r="AB536" s="133"/>
      <c r="AC536" s="133"/>
      <c r="AD536" s="133"/>
      <c r="AE536" s="133"/>
      <c r="AF536" s="133"/>
    </row>
    <row r="537">
      <c r="A537" s="197"/>
      <c r="B537" s="133"/>
      <c r="C537" s="133"/>
      <c r="D537" s="197"/>
      <c r="E537" s="133"/>
      <c r="F537" s="198"/>
      <c r="G537" s="198"/>
      <c r="H537" s="200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  <c r="AA537" s="133"/>
      <c r="AB537" s="133"/>
      <c r="AC537" s="133"/>
      <c r="AD537" s="133"/>
      <c r="AE537" s="133"/>
      <c r="AF537" s="133"/>
    </row>
    <row r="538">
      <c r="A538" s="197"/>
      <c r="B538" s="133"/>
      <c r="C538" s="133"/>
      <c r="D538" s="197"/>
      <c r="E538" s="133"/>
      <c r="F538" s="198"/>
      <c r="G538" s="198"/>
      <c r="H538" s="200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  <c r="AA538" s="133"/>
      <c r="AB538" s="133"/>
      <c r="AC538" s="133"/>
      <c r="AD538" s="133"/>
      <c r="AE538" s="133"/>
      <c r="AF538" s="133"/>
    </row>
    <row r="539">
      <c r="A539" s="197"/>
      <c r="B539" s="133"/>
      <c r="C539" s="133"/>
      <c r="D539" s="197"/>
      <c r="E539" s="133"/>
      <c r="F539" s="198"/>
      <c r="G539" s="198"/>
      <c r="H539" s="200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  <c r="AA539" s="133"/>
      <c r="AB539" s="133"/>
      <c r="AC539" s="133"/>
      <c r="AD539" s="133"/>
      <c r="AE539" s="133"/>
      <c r="AF539" s="133"/>
    </row>
    <row r="540">
      <c r="A540" s="197"/>
      <c r="B540" s="133"/>
      <c r="C540" s="133"/>
      <c r="D540" s="197"/>
      <c r="E540" s="133"/>
      <c r="F540" s="198"/>
      <c r="G540" s="198"/>
      <c r="H540" s="200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  <c r="AA540" s="133"/>
      <c r="AB540" s="133"/>
      <c r="AC540" s="133"/>
      <c r="AD540" s="133"/>
      <c r="AE540" s="133"/>
      <c r="AF540" s="133"/>
    </row>
    <row r="541">
      <c r="A541" s="197"/>
      <c r="B541" s="133"/>
      <c r="C541" s="133"/>
      <c r="D541" s="197"/>
      <c r="E541" s="133"/>
      <c r="F541" s="198"/>
      <c r="G541" s="198"/>
      <c r="H541" s="200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  <c r="AA541" s="133"/>
      <c r="AB541" s="133"/>
      <c r="AC541" s="133"/>
      <c r="AD541" s="133"/>
      <c r="AE541" s="133"/>
      <c r="AF541" s="133"/>
    </row>
    <row r="542">
      <c r="A542" s="197"/>
      <c r="B542" s="133"/>
      <c r="C542" s="133"/>
      <c r="D542" s="197"/>
      <c r="E542" s="133"/>
      <c r="F542" s="198"/>
      <c r="G542" s="198"/>
      <c r="H542" s="200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  <c r="AA542" s="133"/>
      <c r="AB542" s="133"/>
      <c r="AC542" s="133"/>
      <c r="AD542" s="133"/>
      <c r="AE542" s="133"/>
      <c r="AF542" s="133"/>
    </row>
    <row r="543">
      <c r="A543" s="197"/>
      <c r="B543" s="133"/>
      <c r="C543" s="133"/>
      <c r="D543" s="197"/>
      <c r="E543" s="133"/>
      <c r="F543" s="198"/>
      <c r="G543" s="198"/>
      <c r="H543" s="200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  <c r="AA543" s="133"/>
      <c r="AB543" s="133"/>
      <c r="AC543" s="133"/>
      <c r="AD543" s="133"/>
      <c r="AE543" s="133"/>
      <c r="AF543" s="133"/>
    </row>
    <row r="544">
      <c r="A544" s="197"/>
      <c r="B544" s="133"/>
      <c r="C544" s="133"/>
      <c r="D544" s="197"/>
      <c r="E544" s="133"/>
      <c r="F544" s="198"/>
      <c r="G544" s="198"/>
      <c r="H544" s="200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  <c r="AA544" s="133"/>
      <c r="AB544" s="133"/>
      <c r="AC544" s="133"/>
      <c r="AD544" s="133"/>
      <c r="AE544" s="133"/>
      <c r="AF544" s="133"/>
    </row>
    <row r="545">
      <c r="A545" s="197"/>
      <c r="B545" s="133"/>
      <c r="C545" s="133"/>
      <c r="D545" s="197"/>
      <c r="E545" s="133"/>
      <c r="F545" s="198"/>
      <c r="G545" s="198"/>
      <c r="H545" s="200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  <c r="AA545" s="133"/>
      <c r="AB545" s="133"/>
      <c r="AC545" s="133"/>
      <c r="AD545" s="133"/>
      <c r="AE545" s="133"/>
      <c r="AF545" s="133"/>
    </row>
    <row r="546">
      <c r="A546" s="197"/>
      <c r="B546" s="133"/>
      <c r="C546" s="133"/>
      <c r="D546" s="197"/>
      <c r="E546" s="133"/>
      <c r="F546" s="198"/>
      <c r="G546" s="198"/>
      <c r="H546" s="200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  <c r="AA546" s="133"/>
      <c r="AB546" s="133"/>
      <c r="AC546" s="133"/>
      <c r="AD546" s="133"/>
      <c r="AE546" s="133"/>
      <c r="AF546" s="133"/>
    </row>
    <row r="547">
      <c r="A547" s="197"/>
      <c r="B547" s="133"/>
      <c r="C547" s="133"/>
      <c r="D547" s="197"/>
      <c r="E547" s="133"/>
      <c r="F547" s="198"/>
      <c r="G547" s="198"/>
      <c r="H547" s="200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  <c r="AB547" s="133"/>
      <c r="AC547" s="133"/>
      <c r="AD547" s="133"/>
      <c r="AE547" s="133"/>
      <c r="AF547" s="133"/>
    </row>
    <row r="548">
      <c r="A548" s="197"/>
      <c r="B548" s="133"/>
      <c r="C548" s="133"/>
      <c r="D548" s="197"/>
      <c r="E548" s="133"/>
      <c r="F548" s="198"/>
      <c r="G548" s="198"/>
      <c r="H548" s="200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  <c r="AA548" s="133"/>
      <c r="AB548" s="133"/>
      <c r="AC548" s="133"/>
      <c r="AD548" s="133"/>
      <c r="AE548" s="133"/>
      <c r="AF548" s="133"/>
    </row>
    <row r="549">
      <c r="A549" s="197"/>
      <c r="B549" s="133"/>
      <c r="C549" s="133"/>
      <c r="D549" s="197"/>
      <c r="E549" s="133"/>
      <c r="F549" s="198"/>
      <c r="G549" s="198"/>
      <c r="H549" s="200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3"/>
      <c r="AC549" s="133"/>
      <c r="AD549" s="133"/>
      <c r="AE549" s="133"/>
      <c r="AF549" s="133"/>
    </row>
    <row r="550">
      <c r="A550" s="197"/>
      <c r="B550" s="133"/>
      <c r="C550" s="133"/>
      <c r="D550" s="197"/>
      <c r="E550" s="133"/>
      <c r="F550" s="198"/>
      <c r="G550" s="198"/>
      <c r="H550" s="200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  <c r="AA550" s="133"/>
      <c r="AB550" s="133"/>
      <c r="AC550" s="133"/>
      <c r="AD550" s="133"/>
      <c r="AE550" s="133"/>
      <c r="AF550" s="133"/>
    </row>
    <row r="551">
      <c r="A551" s="197"/>
      <c r="B551" s="133"/>
      <c r="C551" s="133"/>
      <c r="D551" s="197"/>
      <c r="E551" s="133"/>
      <c r="F551" s="198"/>
      <c r="G551" s="198"/>
      <c r="H551" s="200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  <c r="AA551" s="133"/>
      <c r="AB551" s="133"/>
      <c r="AC551" s="133"/>
      <c r="AD551" s="133"/>
      <c r="AE551" s="133"/>
      <c r="AF551" s="133"/>
    </row>
    <row r="552">
      <c r="A552" s="197"/>
      <c r="B552" s="133"/>
      <c r="C552" s="133"/>
      <c r="D552" s="197"/>
      <c r="E552" s="133"/>
      <c r="F552" s="198"/>
      <c r="G552" s="198"/>
      <c r="H552" s="200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  <c r="AB552" s="133"/>
      <c r="AC552" s="133"/>
      <c r="AD552" s="133"/>
      <c r="AE552" s="133"/>
      <c r="AF552" s="133"/>
    </row>
    <row r="553">
      <c r="A553" s="197"/>
      <c r="B553" s="133"/>
      <c r="C553" s="133"/>
      <c r="D553" s="197"/>
      <c r="E553" s="133"/>
      <c r="F553" s="198"/>
      <c r="G553" s="198"/>
      <c r="H553" s="200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  <c r="AA553" s="133"/>
      <c r="AB553" s="133"/>
      <c r="AC553" s="133"/>
      <c r="AD553" s="133"/>
      <c r="AE553" s="133"/>
      <c r="AF553" s="133"/>
    </row>
    <row r="554">
      <c r="A554" s="197"/>
      <c r="B554" s="133"/>
      <c r="C554" s="133"/>
      <c r="D554" s="197"/>
      <c r="E554" s="133"/>
      <c r="F554" s="198"/>
      <c r="G554" s="198"/>
      <c r="H554" s="200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  <c r="AA554" s="133"/>
      <c r="AB554" s="133"/>
      <c r="AC554" s="133"/>
      <c r="AD554" s="133"/>
      <c r="AE554" s="133"/>
      <c r="AF554" s="133"/>
    </row>
    <row r="555">
      <c r="A555" s="197"/>
      <c r="B555" s="133"/>
      <c r="C555" s="133"/>
      <c r="D555" s="197"/>
      <c r="E555" s="133"/>
      <c r="F555" s="198"/>
      <c r="G555" s="198"/>
      <c r="H555" s="200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  <c r="AA555" s="133"/>
      <c r="AB555" s="133"/>
      <c r="AC555" s="133"/>
      <c r="AD555" s="133"/>
      <c r="AE555" s="133"/>
      <c r="AF555" s="133"/>
    </row>
    <row r="556">
      <c r="A556" s="197"/>
      <c r="B556" s="133"/>
      <c r="C556" s="133"/>
      <c r="D556" s="197"/>
      <c r="E556" s="133"/>
      <c r="F556" s="198"/>
      <c r="G556" s="198"/>
      <c r="H556" s="200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  <c r="AA556" s="133"/>
      <c r="AB556" s="133"/>
      <c r="AC556" s="133"/>
      <c r="AD556" s="133"/>
      <c r="AE556" s="133"/>
      <c r="AF556" s="133"/>
    </row>
    <row r="557">
      <c r="A557" s="197"/>
      <c r="B557" s="133"/>
      <c r="C557" s="133"/>
      <c r="D557" s="197"/>
      <c r="E557" s="133"/>
      <c r="F557" s="198"/>
      <c r="G557" s="198"/>
      <c r="H557" s="200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  <c r="AC557" s="133"/>
      <c r="AD557" s="133"/>
      <c r="AE557" s="133"/>
      <c r="AF557" s="133"/>
    </row>
    <row r="558">
      <c r="A558" s="197"/>
      <c r="B558" s="133"/>
      <c r="C558" s="133"/>
      <c r="D558" s="197"/>
      <c r="E558" s="133"/>
      <c r="F558" s="198"/>
      <c r="G558" s="198"/>
      <c r="H558" s="200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  <c r="AA558" s="133"/>
      <c r="AB558" s="133"/>
      <c r="AC558" s="133"/>
      <c r="AD558" s="133"/>
      <c r="AE558" s="133"/>
      <c r="AF558" s="133"/>
    </row>
    <row r="559">
      <c r="A559" s="197"/>
      <c r="B559" s="133"/>
      <c r="C559" s="133"/>
      <c r="D559" s="197"/>
      <c r="E559" s="133"/>
      <c r="F559" s="198"/>
      <c r="G559" s="198"/>
      <c r="H559" s="200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  <c r="AA559" s="133"/>
      <c r="AB559" s="133"/>
      <c r="AC559" s="133"/>
      <c r="AD559" s="133"/>
      <c r="AE559" s="133"/>
      <c r="AF559" s="133"/>
    </row>
    <row r="560">
      <c r="A560" s="197"/>
      <c r="B560" s="133"/>
      <c r="C560" s="133"/>
      <c r="D560" s="197"/>
      <c r="E560" s="133"/>
      <c r="F560" s="198"/>
      <c r="G560" s="198"/>
      <c r="H560" s="200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  <c r="AA560" s="133"/>
      <c r="AB560" s="133"/>
      <c r="AC560" s="133"/>
      <c r="AD560" s="133"/>
      <c r="AE560" s="133"/>
      <c r="AF560" s="133"/>
    </row>
    <row r="561">
      <c r="A561" s="197"/>
      <c r="B561" s="133"/>
      <c r="C561" s="133"/>
      <c r="D561" s="197"/>
      <c r="E561" s="133"/>
      <c r="F561" s="198"/>
      <c r="G561" s="198"/>
      <c r="H561" s="200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  <c r="AA561" s="133"/>
      <c r="AB561" s="133"/>
      <c r="AC561" s="133"/>
      <c r="AD561" s="133"/>
      <c r="AE561" s="133"/>
      <c r="AF561" s="133"/>
    </row>
    <row r="562">
      <c r="A562" s="197"/>
      <c r="B562" s="133"/>
      <c r="C562" s="133"/>
      <c r="D562" s="197"/>
      <c r="E562" s="133"/>
      <c r="F562" s="198"/>
      <c r="G562" s="198"/>
      <c r="H562" s="200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  <c r="AA562" s="133"/>
      <c r="AB562" s="133"/>
      <c r="AC562" s="133"/>
      <c r="AD562" s="133"/>
      <c r="AE562" s="133"/>
      <c r="AF562" s="133"/>
    </row>
    <row r="563">
      <c r="A563" s="197"/>
      <c r="B563" s="133"/>
      <c r="C563" s="133"/>
      <c r="D563" s="197"/>
      <c r="E563" s="133"/>
      <c r="F563" s="198"/>
      <c r="G563" s="198"/>
      <c r="H563" s="200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  <c r="AA563" s="133"/>
      <c r="AB563" s="133"/>
      <c r="AC563" s="133"/>
      <c r="AD563" s="133"/>
      <c r="AE563" s="133"/>
      <c r="AF563" s="133"/>
    </row>
    <row r="564">
      <c r="A564" s="197"/>
      <c r="B564" s="133"/>
      <c r="C564" s="133"/>
      <c r="D564" s="197"/>
      <c r="E564" s="133"/>
      <c r="F564" s="198"/>
      <c r="G564" s="198"/>
      <c r="H564" s="200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  <c r="AA564" s="133"/>
      <c r="AB564" s="133"/>
      <c r="AC564" s="133"/>
      <c r="AD564" s="133"/>
      <c r="AE564" s="133"/>
      <c r="AF564" s="133"/>
    </row>
    <row r="565">
      <c r="A565" s="197"/>
      <c r="B565" s="133"/>
      <c r="C565" s="133"/>
      <c r="D565" s="197"/>
      <c r="E565" s="133"/>
      <c r="F565" s="198"/>
      <c r="G565" s="198"/>
      <c r="H565" s="200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  <c r="AA565" s="133"/>
      <c r="AB565" s="133"/>
      <c r="AC565" s="133"/>
      <c r="AD565" s="133"/>
      <c r="AE565" s="133"/>
      <c r="AF565" s="133"/>
    </row>
    <row r="566">
      <c r="A566" s="197"/>
      <c r="B566" s="133"/>
      <c r="C566" s="133"/>
      <c r="D566" s="197"/>
      <c r="E566" s="133"/>
      <c r="F566" s="198"/>
      <c r="G566" s="198"/>
      <c r="H566" s="200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  <c r="AA566" s="133"/>
      <c r="AB566" s="133"/>
      <c r="AC566" s="133"/>
      <c r="AD566" s="133"/>
      <c r="AE566" s="133"/>
      <c r="AF566" s="133"/>
    </row>
    <row r="567">
      <c r="A567" s="197"/>
      <c r="B567" s="133"/>
      <c r="C567" s="133"/>
      <c r="D567" s="197"/>
      <c r="E567" s="133"/>
      <c r="F567" s="198"/>
      <c r="G567" s="198"/>
      <c r="H567" s="200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  <c r="AA567" s="133"/>
      <c r="AB567" s="133"/>
      <c r="AC567" s="133"/>
      <c r="AD567" s="133"/>
      <c r="AE567" s="133"/>
      <c r="AF567" s="133"/>
    </row>
    <row r="568">
      <c r="A568" s="197"/>
      <c r="B568" s="133"/>
      <c r="C568" s="133"/>
      <c r="D568" s="197"/>
      <c r="E568" s="133"/>
      <c r="F568" s="198"/>
      <c r="G568" s="198"/>
      <c r="H568" s="200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  <c r="AA568" s="133"/>
      <c r="AB568" s="133"/>
      <c r="AC568" s="133"/>
      <c r="AD568" s="133"/>
      <c r="AE568" s="133"/>
      <c r="AF568" s="133"/>
    </row>
    <row r="569">
      <c r="A569" s="197"/>
      <c r="B569" s="133"/>
      <c r="C569" s="133"/>
      <c r="D569" s="197"/>
      <c r="E569" s="133"/>
      <c r="F569" s="198"/>
      <c r="G569" s="198"/>
      <c r="H569" s="200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  <c r="AA569" s="133"/>
      <c r="AB569" s="133"/>
      <c r="AC569" s="133"/>
      <c r="AD569" s="133"/>
      <c r="AE569" s="133"/>
      <c r="AF569" s="133"/>
    </row>
    <row r="570">
      <c r="A570" s="197"/>
      <c r="B570" s="133"/>
      <c r="C570" s="133"/>
      <c r="D570" s="197"/>
      <c r="E570" s="133"/>
      <c r="F570" s="198"/>
      <c r="G570" s="198"/>
      <c r="H570" s="200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  <c r="AA570" s="133"/>
      <c r="AB570" s="133"/>
      <c r="AC570" s="133"/>
      <c r="AD570" s="133"/>
      <c r="AE570" s="133"/>
      <c r="AF570" s="133"/>
    </row>
    <row r="571">
      <c r="A571" s="197"/>
      <c r="B571" s="133"/>
      <c r="C571" s="133"/>
      <c r="D571" s="197"/>
      <c r="E571" s="133"/>
      <c r="F571" s="198"/>
      <c r="G571" s="198"/>
      <c r="H571" s="200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  <c r="AA571" s="133"/>
      <c r="AB571" s="133"/>
      <c r="AC571" s="133"/>
      <c r="AD571" s="133"/>
      <c r="AE571" s="133"/>
      <c r="AF571" s="133"/>
    </row>
    <row r="572">
      <c r="A572" s="197"/>
      <c r="B572" s="133"/>
      <c r="C572" s="133"/>
      <c r="D572" s="197"/>
      <c r="E572" s="133"/>
      <c r="F572" s="198"/>
      <c r="G572" s="198"/>
      <c r="H572" s="200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  <c r="AA572" s="133"/>
      <c r="AB572" s="133"/>
      <c r="AC572" s="133"/>
      <c r="AD572" s="133"/>
      <c r="AE572" s="133"/>
      <c r="AF572" s="133"/>
    </row>
    <row r="573">
      <c r="A573" s="197"/>
      <c r="B573" s="133"/>
      <c r="C573" s="133"/>
      <c r="D573" s="197"/>
      <c r="E573" s="133"/>
      <c r="F573" s="198"/>
      <c r="G573" s="198"/>
      <c r="H573" s="200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  <c r="AA573" s="133"/>
      <c r="AB573" s="133"/>
      <c r="AC573" s="133"/>
      <c r="AD573" s="133"/>
      <c r="AE573" s="133"/>
      <c r="AF573" s="133"/>
    </row>
    <row r="574">
      <c r="A574" s="197"/>
      <c r="B574" s="133"/>
      <c r="C574" s="133"/>
      <c r="D574" s="197"/>
      <c r="E574" s="133"/>
      <c r="F574" s="198"/>
      <c r="G574" s="198"/>
      <c r="H574" s="200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  <c r="AA574" s="133"/>
      <c r="AB574" s="133"/>
      <c r="AC574" s="133"/>
      <c r="AD574" s="133"/>
      <c r="AE574" s="133"/>
      <c r="AF574" s="133"/>
    </row>
    <row r="575">
      <c r="A575" s="197"/>
      <c r="B575" s="133"/>
      <c r="C575" s="133"/>
      <c r="D575" s="197"/>
      <c r="E575" s="133"/>
      <c r="F575" s="198"/>
      <c r="G575" s="198"/>
      <c r="H575" s="200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  <c r="AA575" s="133"/>
      <c r="AB575" s="133"/>
      <c r="AC575" s="133"/>
      <c r="AD575" s="133"/>
      <c r="AE575" s="133"/>
      <c r="AF575" s="133"/>
    </row>
    <row r="576">
      <c r="A576" s="197"/>
      <c r="B576" s="133"/>
      <c r="C576" s="133"/>
      <c r="D576" s="197"/>
      <c r="E576" s="133"/>
      <c r="F576" s="198"/>
      <c r="G576" s="198"/>
      <c r="H576" s="200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  <c r="AA576" s="133"/>
      <c r="AB576" s="133"/>
      <c r="AC576" s="133"/>
      <c r="AD576" s="133"/>
      <c r="AE576" s="133"/>
      <c r="AF576" s="133"/>
    </row>
    <row r="577">
      <c r="A577" s="197"/>
      <c r="B577" s="133"/>
      <c r="C577" s="133"/>
      <c r="D577" s="197"/>
      <c r="E577" s="133"/>
      <c r="F577" s="198"/>
      <c r="G577" s="198"/>
      <c r="H577" s="200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  <c r="AA577" s="133"/>
      <c r="AB577" s="133"/>
      <c r="AC577" s="133"/>
      <c r="AD577" s="133"/>
      <c r="AE577" s="133"/>
      <c r="AF577" s="133"/>
    </row>
    <row r="578">
      <c r="A578" s="197"/>
      <c r="B578" s="133"/>
      <c r="C578" s="133"/>
      <c r="D578" s="197"/>
      <c r="E578" s="133"/>
      <c r="F578" s="198"/>
      <c r="G578" s="198"/>
      <c r="H578" s="200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  <c r="AA578" s="133"/>
      <c r="AB578" s="133"/>
      <c r="AC578" s="133"/>
      <c r="AD578" s="133"/>
      <c r="AE578" s="133"/>
      <c r="AF578" s="133"/>
    </row>
    <row r="579">
      <c r="A579" s="197"/>
      <c r="B579" s="133"/>
      <c r="C579" s="133"/>
      <c r="D579" s="197"/>
      <c r="E579" s="133"/>
      <c r="F579" s="198"/>
      <c r="G579" s="198"/>
      <c r="H579" s="200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  <c r="AA579" s="133"/>
      <c r="AB579" s="133"/>
      <c r="AC579" s="133"/>
      <c r="AD579" s="133"/>
      <c r="AE579" s="133"/>
      <c r="AF579" s="133"/>
    </row>
    <row r="580">
      <c r="A580" s="197"/>
      <c r="B580" s="133"/>
      <c r="C580" s="133"/>
      <c r="D580" s="197"/>
      <c r="E580" s="133"/>
      <c r="F580" s="198"/>
      <c r="G580" s="198"/>
      <c r="H580" s="200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  <c r="AA580" s="133"/>
      <c r="AB580" s="133"/>
      <c r="AC580" s="133"/>
      <c r="AD580" s="133"/>
      <c r="AE580" s="133"/>
      <c r="AF580" s="133"/>
    </row>
    <row r="581">
      <c r="A581" s="197"/>
      <c r="B581" s="133"/>
      <c r="C581" s="133"/>
      <c r="D581" s="197"/>
      <c r="E581" s="133"/>
      <c r="F581" s="198"/>
      <c r="G581" s="198"/>
      <c r="H581" s="200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  <c r="AA581" s="133"/>
      <c r="AB581" s="133"/>
      <c r="AC581" s="133"/>
      <c r="AD581" s="133"/>
      <c r="AE581" s="133"/>
      <c r="AF581" s="133"/>
    </row>
    <row r="582">
      <c r="A582" s="197"/>
      <c r="B582" s="133"/>
      <c r="C582" s="133"/>
      <c r="D582" s="197"/>
      <c r="E582" s="133"/>
      <c r="F582" s="198"/>
      <c r="G582" s="198"/>
      <c r="H582" s="200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</row>
    <row r="583">
      <c r="A583" s="197"/>
      <c r="B583" s="133"/>
      <c r="C583" s="133"/>
      <c r="D583" s="197"/>
      <c r="E583" s="133"/>
      <c r="F583" s="198"/>
      <c r="G583" s="198"/>
      <c r="H583" s="200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  <c r="AA583" s="133"/>
      <c r="AB583" s="133"/>
      <c r="AC583" s="133"/>
      <c r="AD583" s="133"/>
      <c r="AE583" s="133"/>
      <c r="AF583" s="133"/>
    </row>
    <row r="584">
      <c r="A584" s="197"/>
      <c r="B584" s="133"/>
      <c r="C584" s="133"/>
      <c r="D584" s="197"/>
      <c r="E584" s="133"/>
      <c r="F584" s="198"/>
      <c r="G584" s="198"/>
      <c r="H584" s="200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  <c r="AB584" s="133"/>
      <c r="AC584" s="133"/>
      <c r="AD584" s="133"/>
      <c r="AE584" s="133"/>
      <c r="AF584" s="133"/>
    </row>
    <row r="585">
      <c r="A585" s="197"/>
      <c r="B585" s="133"/>
      <c r="C585" s="133"/>
      <c r="D585" s="197"/>
      <c r="E585" s="133"/>
      <c r="F585" s="198"/>
      <c r="G585" s="198"/>
      <c r="H585" s="200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  <c r="AA585" s="133"/>
      <c r="AB585" s="133"/>
      <c r="AC585" s="133"/>
      <c r="AD585" s="133"/>
      <c r="AE585" s="133"/>
      <c r="AF585" s="133"/>
    </row>
    <row r="586">
      <c r="A586" s="197"/>
      <c r="B586" s="133"/>
      <c r="C586" s="133"/>
      <c r="D586" s="197"/>
      <c r="E586" s="133"/>
      <c r="F586" s="198"/>
      <c r="G586" s="198"/>
      <c r="H586" s="200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  <c r="AA586" s="133"/>
      <c r="AB586" s="133"/>
      <c r="AC586" s="133"/>
      <c r="AD586" s="133"/>
      <c r="AE586" s="133"/>
      <c r="AF586" s="133"/>
    </row>
    <row r="587">
      <c r="A587" s="197"/>
      <c r="B587" s="133"/>
      <c r="C587" s="133"/>
      <c r="D587" s="197"/>
      <c r="E587" s="133"/>
      <c r="F587" s="198"/>
      <c r="G587" s="198"/>
      <c r="H587" s="200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  <c r="AA587" s="133"/>
      <c r="AB587" s="133"/>
      <c r="AC587" s="133"/>
      <c r="AD587" s="133"/>
      <c r="AE587" s="133"/>
      <c r="AF587" s="133"/>
    </row>
    <row r="588">
      <c r="A588" s="197"/>
      <c r="B588" s="133"/>
      <c r="C588" s="133"/>
      <c r="D588" s="197"/>
      <c r="E588" s="133"/>
      <c r="F588" s="198"/>
      <c r="G588" s="198"/>
      <c r="H588" s="200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  <c r="AA588" s="133"/>
      <c r="AB588" s="133"/>
      <c r="AC588" s="133"/>
      <c r="AD588" s="133"/>
      <c r="AE588" s="133"/>
      <c r="AF588" s="133"/>
    </row>
    <row r="589">
      <c r="A589" s="197"/>
      <c r="B589" s="133"/>
      <c r="C589" s="133"/>
      <c r="D589" s="197"/>
      <c r="E589" s="133"/>
      <c r="F589" s="198"/>
      <c r="G589" s="198"/>
      <c r="H589" s="200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  <c r="AA589" s="133"/>
      <c r="AB589" s="133"/>
      <c r="AC589" s="133"/>
      <c r="AD589" s="133"/>
      <c r="AE589" s="133"/>
      <c r="AF589" s="133"/>
    </row>
    <row r="590">
      <c r="A590" s="197"/>
      <c r="B590" s="133"/>
      <c r="C590" s="133"/>
      <c r="D590" s="197"/>
      <c r="E590" s="133"/>
      <c r="F590" s="198"/>
      <c r="G590" s="198"/>
      <c r="H590" s="200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  <c r="AA590" s="133"/>
      <c r="AB590" s="133"/>
      <c r="AC590" s="133"/>
      <c r="AD590" s="133"/>
      <c r="AE590" s="133"/>
      <c r="AF590" s="133"/>
    </row>
    <row r="591">
      <c r="A591" s="197"/>
      <c r="B591" s="133"/>
      <c r="C591" s="133"/>
      <c r="D591" s="197"/>
      <c r="E591" s="133"/>
      <c r="F591" s="198"/>
      <c r="G591" s="198"/>
      <c r="H591" s="200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  <c r="AA591" s="133"/>
      <c r="AB591" s="133"/>
      <c r="AC591" s="133"/>
      <c r="AD591" s="133"/>
      <c r="AE591" s="133"/>
      <c r="AF591" s="133"/>
    </row>
    <row r="592">
      <c r="A592" s="197"/>
      <c r="B592" s="133"/>
      <c r="C592" s="133"/>
      <c r="D592" s="197"/>
      <c r="E592" s="133"/>
      <c r="F592" s="198"/>
      <c r="G592" s="198"/>
      <c r="H592" s="200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  <c r="AA592" s="133"/>
      <c r="AB592" s="133"/>
      <c r="AC592" s="133"/>
      <c r="AD592" s="133"/>
      <c r="AE592" s="133"/>
      <c r="AF592" s="133"/>
    </row>
    <row r="593">
      <c r="A593" s="197"/>
      <c r="B593" s="133"/>
      <c r="C593" s="133"/>
      <c r="D593" s="197"/>
      <c r="E593" s="133"/>
      <c r="F593" s="198"/>
      <c r="G593" s="198"/>
      <c r="H593" s="200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  <c r="AA593" s="133"/>
      <c r="AB593" s="133"/>
      <c r="AC593" s="133"/>
      <c r="AD593" s="133"/>
      <c r="AE593" s="133"/>
      <c r="AF593" s="133"/>
    </row>
    <row r="594">
      <c r="A594" s="197"/>
      <c r="B594" s="133"/>
      <c r="C594" s="133"/>
      <c r="D594" s="197"/>
      <c r="E594" s="133"/>
      <c r="F594" s="198"/>
      <c r="G594" s="198"/>
      <c r="H594" s="200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  <c r="AA594" s="133"/>
      <c r="AB594" s="133"/>
      <c r="AC594" s="133"/>
      <c r="AD594" s="133"/>
      <c r="AE594" s="133"/>
      <c r="AF594" s="133"/>
    </row>
    <row r="595">
      <c r="A595" s="197"/>
      <c r="B595" s="133"/>
      <c r="C595" s="133"/>
      <c r="D595" s="197"/>
      <c r="E595" s="133"/>
      <c r="F595" s="198"/>
      <c r="G595" s="198"/>
      <c r="H595" s="200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  <c r="AA595" s="133"/>
      <c r="AB595" s="133"/>
      <c r="AC595" s="133"/>
      <c r="AD595" s="133"/>
      <c r="AE595" s="133"/>
      <c r="AF595" s="133"/>
    </row>
    <row r="596">
      <c r="A596" s="197"/>
      <c r="B596" s="133"/>
      <c r="C596" s="133"/>
      <c r="D596" s="197"/>
      <c r="E596" s="133"/>
      <c r="F596" s="198"/>
      <c r="G596" s="198"/>
      <c r="H596" s="200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  <c r="AA596" s="133"/>
      <c r="AB596" s="133"/>
      <c r="AC596" s="133"/>
      <c r="AD596" s="133"/>
      <c r="AE596" s="133"/>
      <c r="AF596" s="133"/>
    </row>
    <row r="597">
      <c r="A597" s="197"/>
      <c r="B597" s="133"/>
      <c r="C597" s="133"/>
      <c r="D597" s="197"/>
      <c r="E597" s="133"/>
      <c r="F597" s="198"/>
      <c r="G597" s="198"/>
      <c r="H597" s="200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  <c r="AA597" s="133"/>
      <c r="AB597" s="133"/>
      <c r="AC597" s="133"/>
      <c r="AD597" s="133"/>
      <c r="AE597" s="133"/>
      <c r="AF597" s="133"/>
    </row>
    <row r="598">
      <c r="A598" s="197"/>
      <c r="B598" s="133"/>
      <c r="C598" s="133"/>
      <c r="D598" s="197"/>
      <c r="E598" s="133"/>
      <c r="F598" s="198"/>
      <c r="G598" s="198"/>
      <c r="H598" s="200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  <c r="AA598" s="133"/>
      <c r="AB598" s="133"/>
      <c r="AC598" s="133"/>
      <c r="AD598" s="133"/>
      <c r="AE598" s="133"/>
      <c r="AF598" s="133"/>
    </row>
    <row r="599">
      <c r="A599" s="197"/>
      <c r="B599" s="133"/>
      <c r="C599" s="133"/>
      <c r="D599" s="197"/>
      <c r="E599" s="133"/>
      <c r="F599" s="198"/>
      <c r="G599" s="198"/>
      <c r="H599" s="200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  <c r="AA599" s="133"/>
      <c r="AB599" s="133"/>
      <c r="AC599" s="133"/>
      <c r="AD599" s="133"/>
      <c r="AE599" s="133"/>
      <c r="AF599" s="133"/>
    </row>
    <row r="600">
      <c r="A600" s="197"/>
      <c r="B600" s="133"/>
      <c r="C600" s="133"/>
      <c r="D600" s="197"/>
      <c r="E600" s="133"/>
      <c r="F600" s="198"/>
      <c r="G600" s="198"/>
      <c r="H600" s="200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  <c r="AA600" s="133"/>
      <c r="AB600" s="133"/>
      <c r="AC600" s="133"/>
      <c r="AD600" s="133"/>
      <c r="AE600" s="133"/>
      <c r="AF600" s="133"/>
    </row>
    <row r="601">
      <c r="A601" s="197"/>
      <c r="B601" s="133"/>
      <c r="C601" s="133"/>
      <c r="D601" s="197"/>
      <c r="E601" s="133"/>
      <c r="F601" s="198"/>
      <c r="G601" s="198"/>
      <c r="H601" s="200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  <c r="AA601" s="133"/>
      <c r="AB601" s="133"/>
      <c r="AC601" s="133"/>
      <c r="AD601" s="133"/>
      <c r="AE601" s="133"/>
      <c r="AF601" s="133"/>
    </row>
    <row r="602">
      <c r="A602" s="197"/>
      <c r="B602" s="133"/>
      <c r="C602" s="133"/>
      <c r="D602" s="197"/>
      <c r="E602" s="133"/>
      <c r="F602" s="198"/>
      <c r="G602" s="198"/>
      <c r="H602" s="200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  <c r="AB602" s="133"/>
      <c r="AC602" s="133"/>
      <c r="AD602" s="133"/>
      <c r="AE602" s="133"/>
      <c r="AF602" s="133"/>
    </row>
    <row r="603">
      <c r="A603" s="197"/>
      <c r="B603" s="133"/>
      <c r="C603" s="133"/>
      <c r="D603" s="197"/>
      <c r="E603" s="133"/>
      <c r="F603" s="198"/>
      <c r="G603" s="198"/>
      <c r="H603" s="200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  <c r="AA603" s="133"/>
      <c r="AB603" s="133"/>
      <c r="AC603" s="133"/>
      <c r="AD603" s="133"/>
      <c r="AE603" s="133"/>
      <c r="AF603" s="133"/>
    </row>
    <row r="604">
      <c r="A604" s="197"/>
      <c r="B604" s="133"/>
      <c r="C604" s="133"/>
      <c r="D604" s="197"/>
      <c r="E604" s="133"/>
      <c r="F604" s="198"/>
      <c r="G604" s="198"/>
      <c r="H604" s="200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  <c r="AA604" s="133"/>
      <c r="AB604" s="133"/>
      <c r="AC604" s="133"/>
      <c r="AD604" s="133"/>
      <c r="AE604" s="133"/>
      <c r="AF604" s="133"/>
    </row>
    <row r="605">
      <c r="A605" s="197"/>
      <c r="B605" s="133"/>
      <c r="C605" s="133"/>
      <c r="D605" s="197"/>
      <c r="E605" s="133"/>
      <c r="F605" s="198"/>
      <c r="G605" s="198"/>
      <c r="H605" s="200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  <c r="AA605" s="133"/>
      <c r="AB605" s="133"/>
      <c r="AC605" s="133"/>
      <c r="AD605" s="133"/>
      <c r="AE605" s="133"/>
      <c r="AF605" s="133"/>
    </row>
    <row r="606">
      <c r="A606" s="197"/>
      <c r="B606" s="133"/>
      <c r="C606" s="133"/>
      <c r="D606" s="197"/>
      <c r="E606" s="133"/>
      <c r="F606" s="198"/>
      <c r="G606" s="198"/>
      <c r="H606" s="200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  <c r="AB606" s="133"/>
      <c r="AC606" s="133"/>
      <c r="AD606" s="133"/>
      <c r="AE606" s="133"/>
      <c r="AF606" s="133"/>
    </row>
    <row r="607">
      <c r="A607" s="197"/>
      <c r="B607" s="133"/>
      <c r="C607" s="133"/>
      <c r="D607" s="197"/>
      <c r="E607" s="133"/>
      <c r="F607" s="198"/>
      <c r="G607" s="198"/>
      <c r="H607" s="200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  <c r="AB607" s="133"/>
      <c r="AC607" s="133"/>
      <c r="AD607" s="133"/>
      <c r="AE607" s="133"/>
      <c r="AF607" s="133"/>
    </row>
    <row r="608">
      <c r="A608" s="197"/>
      <c r="B608" s="133"/>
      <c r="C608" s="133"/>
      <c r="D608" s="197"/>
      <c r="E608" s="133"/>
      <c r="F608" s="198"/>
      <c r="G608" s="198"/>
      <c r="H608" s="200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  <c r="AA608" s="133"/>
      <c r="AB608" s="133"/>
      <c r="AC608" s="133"/>
      <c r="AD608" s="133"/>
      <c r="AE608" s="133"/>
      <c r="AF608" s="133"/>
    </row>
    <row r="609">
      <c r="A609" s="197"/>
      <c r="B609" s="133"/>
      <c r="C609" s="133"/>
      <c r="D609" s="197"/>
      <c r="E609" s="133"/>
      <c r="F609" s="198"/>
      <c r="G609" s="198"/>
      <c r="H609" s="200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  <c r="AA609" s="133"/>
      <c r="AB609" s="133"/>
      <c r="AC609" s="133"/>
      <c r="AD609" s="133"/>
      <c r="AE609" s="133"/>
      <c r="AF609" s="133"/>
    </row>
    <row r="610">
      <c r="A610" s="197"/>
      <c r="B610" s="133"/>
      <c r="C610" s="133"/>
      <c r="D610" s="197"/>
      <c r="E610" s="133"/>
      <c r="F610" s="198"/>
      <c r="G610" s="198"/>
      <c r="H610" s="200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  <c r="AA610" s="133"/>
      <c r="AB610" s="133"/>
      <c r="AC610" s="133"/>
      <c r="AD610" s="133"/>
      <c r="AE610" s="133"/>
      <c r="AF610" s="133"/>
    </row>
    <row r="611">
      <c r="A611" s="197"/>
      <c r="B611" s="133"/>
      <c r="C611" s="133"/>
      <c r="D611" s="197"/>
      <c r="E611" s="133"/>
      <c r="F611" s="198"/>
      <c r="G611" s="198"/>
      <c r="H611" s="200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  <c r="AA611" s="133"/>
      <c r="AB611" s="133"/>
      <c r="AC611" s="133"/>
      <c r="AD611" s="133"/>
      <c r="AE611" s="133"/>
      <c r="AF611" s="133"/>
    </row>
    <row r="612">
      <c r="A612" s="197"/>
      <c r="B612" s="133"/>
      <c r="C612" s="133"/>
      <c r="D612" s="197"/>
      <c r="E612" s="133"/>
      <c r="F612" s="198"/>
      <c r="G612" s="198"/>
      <c r="H612" s="200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  <c r="AB612" s="133"/>
      <c r="AC612" s="133"/>
      <c r="AD612" s="133"/>
      <c r="AE612" s="133"/>
      <c r="AF612" s="133"/>
    </row>
    <row r="613">
      <c r="A613" s="197"/>
      <c r="B613" s="133"/>
      <c r="C613" s="133"/>
      <c r="D613" s="197"/>
      <c r="E613" s="133"/>
      <c r="F613" s="198"/>
      <c r="G613" s="198"/>
      <c r="H613" s="200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  <c r="AA613" s="133"/>
      <c r="AB613" s="133"/>
      <c r="AC613" s="133"/>
      <c r="AD613" s="133"/>
      <c r="AE613" s="133"/>
      <c r="AF613" s="133"/>
    </row>
    <row r="614">
      <c r="A614" s="197"/>
      <c r="B614" s="133"/>
      <c r="C614" s="133"/>
      <c r="D614" s="197"/>
      <c r="E614" s="133"/>
      <c r="F614" s="198"/>
      <c r="G614" s="198"/>
      <c r="H614" s="200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  <c r="AA614" s="133"/>
      <c r="AB614" s="133"/>
      <c r="AC614" s="133"/>
      <c r="AD614" s="133"/>
      <c r="AE614" s="133"/>
      <c r="AF614" s="133"/>
    </row>
    <row r="615">
      <c r="A615" s="197"/>
      <c r="B615" s="133"/>
      <c r="C615" s="133"/>
      <c r="D615" s="197"/>
      <c r="E615" s="133"/>
      <c r="F615" s="198"/>
      <c r="G615" s="198"/>
      <c r="H615" s="200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  <c r="AA615" s="133"/>
      <c r="AB615" s="133"/>
      <c r="AC615" s="133"/>
      <c r="AD615" s="133"/>
      <c r="AE615" s="133"/>
      <c r="AF615" s="133"/>
    </row>
    <row r="616">
      <c r="A616" s="197"/>
      <c r="B616" s="133"/>
      <c r="C616" s="133"/>
      <c r="D616" s="197"/>
      <c r="E616" s="133"/>
      <c r="F616" s="198"/>
      <c r="G616" s="198"/>
      <c r="H616" s="200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  <c r="AA616" s="133"/>
      <c r="AB616" s="133"/>
      <c r="AC616" s="133"/>
      <c r="AD616" s="133"/>
      <c r="AE616" s="133"/>
      <c r="AF616" s="133"/>
    </row>
    <row r="617">
      <c r="A617" s="197"/>
      <c r="B617" s="133"/>
      <c r="C617" s="133"/>
      <c r="D617" s="197"/>
      <c r="E617" s="133"/>
      <c r="F617" s="198"/>
      <c r="G617" s="198"/>
      <c r="H617" s="200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  <c r="AA617" s="133"/>
      <c r="AB617" s="133"/>
      <c r="AC617" s="133"/>
      <c r="AD617" s="133"/>
      <c r="AE617" s="133"/>
      <c r="AF617" s="133"/>
    </row>
    <row r="618">
      <c r="A618" s="197"/>
      <c r="B618" s="133"/>
      <c r="C618" s="133"/>
      <c r="D618" s="197"/>
      <c r="E618" s="133"/>
      <c r="F618" s="198"/>
      <c r="G618" s="198"/>
      <c r="H618" s="200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  <c r="AA618" s="133"/>
      <c r="AB618" s="133"/>
      <c r="AC618" s="133"/>
      <c r="AD618" s="133"/>
      <c r="AE618" s="133"/>
      <c r="AF618" s="133"/>
    </row>
    <row r="619">
      <c r="A619" s="197"/>
      <c r="B619" s="133"/>
      <c r="C619" s="133"/>
      <c r="D619" s="197"/>
      <c r="E619" s="133"/>
      <c r="F619" s="198"/>
      <c r="G619" s="198"/>
      <c r="H619" s="200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  <c r="AA619" s="133"/>
      <c r="AB619" s="133"/>
      <c r="AC619" s="133"/>
      <c r="AD619" s="133"/>
      <c r="AE619" s="133"/>
      <c r="AF619" s="133"/>
    </row>
    <row r="620">
      <c r="A620" s="197"/>
      <c r="B620" s="133"/>
      <c r="C620" s="133"/>
      <c r="D620" s="197"/>
      <c r="E620" s="133"/>
      <c r="F620" s="198"/>
      <c r="G620" s="198"/>
      <c r="H620" s="200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  <c r="AA620" s="133"/>
      <c r="AB620" s="133"/>
      <c r="AC620" s="133"/>
      <c r="AD620" s="133"/>
      <c r="AE620" s="133"/>
      <c r="AF620" s="133"/>
    </row>
    <row r="621">
      <c r="A621" s="197"/>
      <c r="B621" s="133"/>
      <c r="C621" s="133"/>
      <c r="D621" s="197"/>
      <c r="E621" s="133"/>
      <c r="F621" s="198"/>
      <c r="G621" s="198"/>
      <c r="H621" s="200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  <c r="AA621" s="133"/>
      <c r="AB621" s="133"/>
      <c r="AC621" s="133"/>
      <c r="AD621" s="133"/>
      <c r="AE621" s="133"/>
      <c r="AF621" s="133"/>
    </row>
    <row r="622">
      <c r="A622" s="197"/>
      <c r="B622" s="133"/>
      <c r="C622" s="133"/>
      <c r="D622" s="197"/>
      <c r="E622" s="133"/>
      <c r="F622" s="198"/>
      <c r="G622" s="198"/>
      <c r="H622" s="200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  <c r="AA622" s="133"/>
      <c r="AB622" s="133"/>
      <c r="AC622" s="133"/>
      <c r="AD622" s="133"/>
      <c r="AE622" s="133"/>
      <c r="AF622" s="133"/>
    </row>
    <row r="623">
      <c r="A623" s="197"/>
      <c r="B623" s="133"/>
      <c r="C623" s="133"/>
      <c r="D623" s="197"/>
      <c r="E623" s="133"/>
      <c r="F623" s="198"/>
      <c r="G623" s="198"/>
      <c r="H623" s="200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  <c r="AA623" s="133"/>
      <c r="AB623" s="133"/>
      <c r="AC623" s="133"/>
      <c r="AD623" s="133"/>
      <c r="AE623" s="133"/>
      <c r="AF623" s="133"/>
    </row>
    <row r="624">
      <c r="A624" s="197"/>
      <c r="B624" s="133"/>
      <c r="C624" s="133"/>
      <c r="D624" s="197"/>
      <c r="E624" s="133"/>
      <c r="F624" s="198"/>
      <c r="G624" s="198"/>
      <c r="H624" s="200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  <c r="AA624" s="133"/>
      <c r="AB624" s="133"/>
      <c r="AC624" s="133"/>
      <c r="AD624" s="133"/>
      <c r="AE624" s="133"/>
      <c r="AF624" s="133"/>
    </row>
    <row r="625">
      <c r="A625" s="197"/>
      <c r="B625" s="133"/>
      <c r="C625" s="133"/>
      <c r="D625" s="197"/>
      <c r="E625" s="133"/>
      <c r="F625" s="198"/>
      <c r="G625" s="198"/>
      <c r="H625" s="200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  <c r="AA625" s="133"/>
      <c r="AB625" s="133"/>
      <c r="AC625" s="133"/>
      <c r="AD625" s="133"/>
      <c r="AE625" s="133"/>
      <c r="AF625" s="133"/>
    </row>
    <row r="626">
      <c r="A626" s="197"/>
      <c r="B626" s="133"/>
      <c r="C626" s="133"/>
      <c r="D626" s="197"/>
      <c r="E626" s="133"/>
      <c r="F626" s="198"/>
      <c r="G626" s="198"/>
      <c r="H626" s="200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  <c r="AA626" s="133"/>
      <c r="AB626" s="133"/>
      <c r="AC626" s="133"/>
      <c r="AD626" s="133"/>
      <c r="AE626" s="133"/>
      <c r="AF626" s="133"/>
    </row>
    <row r="627">
      <c r="A627" s="197"/>
      <c r="B627" s="133"/>
      <c r="C627" s="133"/>
      <c r="D627" s="197"/>
      <c r="E627" s="133"/>
      <c r="F627" s="198"/>
      <c r="G627" s="198"/>
      <c r="H627" s="200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  <c r="AA627" s="133"/>
      <c r="AB627" s="133"/>
      <c r="AC627" s="133"/>
      <c r="AD627" s="133"/>
      <c r="AE627" s="133"/>
      <c r="AF627" s="133"/>
    </row>
    <row r="628">
      <c r="A628" s="197"/>
      <c r="B628" s="133"/>
      <c r="C628" s="133"/>
      <c r="D628" s="197"/>
      <c r="E628" s="133"/>
      <c r="F628" s="198"/>
      <c r="G628" s="198"/>
      <c r="H628" s="200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  <c r="AA628" s="133"/>
      <c r="AB628" s="133"/>
      <c r="AC628" s="133"/>
      <c r="AD628" s="133"/>
      <c r="AE628" s="133"/>
      <c r="AF628" s="133"/>
    </row>
    <row r="629">
      <c r="A629" s="197"/>
      <c r="B629" s="133"/>
      <c r="C629" s="133"/>
      <c r="D629" s="197"/>
      <c r="E629" s="133"/>
      <c r="F629" s="198"/>
      <c r="G629" s="198"/>
      <c r="H629" s="200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  <c r="AA629" s="133"/>
      <c r="AB629" s="133"/>
      <c r="AC629" s="133"/>
      <c r="AD629" s="133"/>
      <c r="AE629" s="133"/>
      <c r="AF629" s="133"/>
    </row>
    <row r="630">
      <c r="A630" s="197"/>
      <c r="B630" s="133"/>
      <c r="C630" s="133"/>
      <c r="D630" s="197"/>
      <c r="E630" s="133"/>
      <c r="F630" s="198"/>
      <c r="G630" s="198"/>
      <c r="H630" s="200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  <c r="AA630" s="133"/>
      <c r="AB630" s="133"/>
      <c r="AC630" s="133"/>
      <c r="AD630" s="133"/>
      <c r="AE630" s="133"/>
      <c r="AF630" s="133"/>
    </row>
    <row r="631">
      <c r="A631" s="197"/>
      <c r="B631" s="133"/>
      <c r="C631" s="133"/>
      <c r="D631" s="197"/>
      <c r="E631" s="133"/>
      <c r="F631" s="198"/>
      <c r="G631" s="198"/>
      <c r="H631" s="200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  <c r="AA631" s="133"/>
      <c r="AB631" s="133"/>
      <c r="AC631" s="133"/>
      <c r="AD631" s="133"/>
      <c r="AE631" s="133"/>
      <c r="AF631" s="133"/>
    </row>
    <row r="632">
      <c r="A632" s="197"/>
      <c r="B632" s="133"/>
      <c r="C632" s="133"/>
      <c r="D632" s="197"/>
      <c r="E632" s="133"/>
      <c r="F632" s="198"/>
      <c r="G632" s="198"/>
      <c r="H632" s="200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  <c r="AA632" s="133"/>
      <c r="AB632" s="133"/>
      <c r="AC632" s="133"/>
      <c r="AD632" s="133"/>
      <c r="AE632" s="133"/>
      <c r="AF632" s="133"/>
    </row>
    <row r="633">
      <c r="A633" s="197"/>
      <c r="B633" s="133"/>
      <c r="C633" s="133"/>
      <c r="D633" s="197"/>
      <c r="E633" s="133"/>
      <c r="F633" s="198"/>
      <c r="G633" s="198"/>
      <c r="H633" s="200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  <c r="AA633" s="133"/>
      <c r="AB633" s="133"/>
      <c r="AC633" s="133"/>
      <c r="AD633" s="133"/>
      <c r="AE633" s="133"/>
      <c r="AF633" s="133"/>
    </row>
    <row r="634">
      <c r="A634" s="197"/>
      <c r="B634" s="133"/>
      <c r="C634" s="133"/>
      <c r="D634" s="197"/>
      <c r="E634" s="133"/>
      <c r="F634" s="198"/>
      <c r="G634" s="198"/>
      <c r="H634" s="200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  <c r="AA634" s="133"/>
      <c r="AB634" s="133"/>
      <c r="AC634" s="133"/>
      <c r="AD634" s="133"/>
      <c r="AE634" s="133"/>
      <c r="AF634" s="133"/>
    </row>
    <row r="635">
      <c r="A635" s="197"/>
      <c r="B635" s="133"/>
      <c r="C635" s="133"/>
      <c r="D635" s="197"/>
      <c r="E635" s="133"/>
      <c r="F635" s="198"/>
      <c r="G635" s="198"/>
      <c r="H635" s="200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</row>
    <row r="636">
      <c r="A636" s="197"/>
      <c r="B636" s="133"/>
      <c r="C636" s="133"/>
      <c r="D636" s="197"/>
      <c r="E636" s="133"/>
      <c r="F636" s="198"/>
      <c r="G636" s="198"/>
      <c r="H636" s="200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  <c r="AA636" s="133"/>
      <c r="AB636" s="133"/>
      <c r="AC636" s="133"/>
      <c r="AD636" s="133"/>
      <c r="AE636" s="133"/>
      <c r="AF636" s="133"/>
    </row>
    <row r="637">
      <c r="A637" s="197"/>
      <c r="B637" s="133"/>
      <c r="C637" s="133"/>
      <c r="D637" s="197"/>
      <c r="E637" s="133"/>
      <c r="F637" s="198"/>
      <c r="G637" s="198"/>
      <c r="H637" s="200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  <c r="AB637" s="133"/>
      <c r="AC637" s="133"/>
      <c r="AD637" s="133"/>
      <c r="AE637" s="133"/>
      <c r="AF637" s="133"/>
    </row>
    <row r="638">
      <c r="A638" s="197"/>
      <c r="B638" s="133"/>
      <c r="C638" s="133"/>
      <c r="D638" s="197"/>
      <c r="E638" s="133"/>
      <c r="F638" s="198"/>
      <c r="G638" s="198"/>
      <c r="H638" s="200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  <c r="AA638" s="133"/>
      <c r="AB638" s="133"/>
      <c r="AC638" s="133"/>
      <c r="AD638" s="133"/>
      <c r="AE638" s="133"/>
      <c r="AF638" s="133"/>
    </row>
    <row r="639">
      <c r="A639" s="197"/>
      <c r="B639" s="133"/>
      <c r="C639" s="133"/>
      <c r="D639" s="197"/>
      <c r="E639" s="133"/>
      <c r="F639" s="198"/>
      <c r="G639" s="198"/>
      <c r="H639" s="200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  <c r="AA639" s="133"/>
      <c r="AB639" s="133"/>
      <c r="AC639" s="133"/>
      <c r="AD639" s="133"/>
      <c r="AE639" s="133"/>
      <c r="AF639" s="133"/>
    </row>
    <row r="640">
      <c r="A640" s="197"/>
      <c r="B640" s="133"/>
      <c r="C640" s="133"/>
      <c r="D640" s="197"/>
      <c r="E640" s="133"/>
      <c r="F640" s="198"/>
      <c r="G640" s="198"/>
      <c r="H640" s="200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  <c r="AA640" s="133"/>
      <c r="AB640" s="133"/>
      <c r="AC640" s="133"/>
      <c r="AD640" s="133"/>
      <c r="AE640" s="133"/>
      <c r="AF640" s="133"/>
    </row>
    <row r="641">
      <c r="A641" s="197"/>
      <c r="B641" s="133"/>
      <c r="C641" s="133"/>
      <c r="D641" s="197"/>
      <c r="E641" s="133"/>
      <c r="F641" s="198"/>
      <c r="G641" s="198"/>
      <c r="H641" s="200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  <c r="AB641" s="133"/>
      <c r="AC641" s="133"/>
      <c r="AD641" s="133"/>
      <c r="AE641" s="133"/>
      <c r="AF641" s="133"/>
    </row>
    <row r="642">
      <c r="A642" s="197"/>
      <c r="B642" s="133"/>
      <c r="C642" s="133"/>
      <c r="D642" s="197"/>
      <c r="E642" s="133"/>
      <c r="F642" s="198"/>
      <c r="G642" s="198"/>
      <c r="H642" s="200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  <c r="AA642" s="133"/>
      <c r="AB642" s="133"/>
      <c r="AC642" s="133"/>
      <c r="AD642" s="133"/>
      <c r="AE642" s="133"/>
      <c r="AF642" s="133"/>
    </row>
    <row r="643">
      <c r="A643" s="197"/>
      <c r="B643" s="133"/>
      <c r="C643" s="133"/>
      <c r="D643" s="197"/>
      <c r="E643" s="133"/>
      <c r="F643" s="198"/>
      <c r="G643" s="198"/>
      <c r="H643" s="200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  <c r="AA643" s="133"/>
      <c r="AB643" s="133"/>
      <c r="AC643" s="133"/>
      <c r="AD643" s="133"/>
      <c r="AE643" s="133"/>
      <c r="AF643" s="133"/>
    </row>
    <row r="644">
      <c r="A644" s="197"/>
      <c r="B644" s="133"/>
      <c r="C644" s="133"/>
      <c r="D644" s="197"/>
      <c r="E644" s="133"/>
      <c r="F644" s="198"/>
      <c r="G644" s="198"/>
      <c r="H644" s="200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  <c r="AA644" s="133"/>
      <c r="AB644" s="133"/>
      <c r="AC644" s="133"/>
      <c r="AD644" s="133"/>
      <c r="AE644" s="133"/>
      <c r="AF644" s="133"/>
    </row>
    <row r="645">
      <c r="A645" s="197"/>
      <c r="B645" s="133"/>
      <c r="C645" s="133"/>
      <c r="D645" s="197"/>
      <c r="E645" s="133"/>
      <c r="F645" s="198"/>
      <c r="G645" s="198"/>
      <c r="H645" s="200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  <c r="AA645" s="133"/>
      <c r="AB645" s="133"/>
      <c r="AC645" s="133"/>
      <c r="AD645" s="133"/>
      <c r="AE645" s="133"/>
      <c r="AF645" s="133"/>
    </row>
    <row r="646">
      <c r="A646" s="197"/>
      <c r="B646" s="133"/>
      <c r="C646" s="133"/>
      <c r="D646" s="197"/>
      <c r="E646" s="133"/>
      <c r="F646" s="198"/>
      <c r="G646" s="198"/>
      <c r="H646" s="200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  <c r="AB646" s="133"/>
      <c r="AC646" s="133"/>
      <c r="AD646" s="133"/>
      <c r="AE646" s="133"/>
      <c r="AF646" s="133"/>
    </row>
    <row r="647">
      <c r="A647" s="197"/>
      <c r="B647" s="133"/>
      <c r="C647" s="133"/>
      <c r="D647" s="197"/>
      <c r="E647" s="133"/>
      <c r="F647" s="198"/>
      <c r="G647" s="198"/>
      <c r="H647" s="200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  <c r="AA647" s="133"/>
      <c r="AB647" s="133"/>
      <c r="AC647" s="133"/>
      <c r="AD647" s="133"/>
      <c r="AE647" s="133"/>
      <c r="AF647" s="133"/>
    </row>
    <row r="648">
      <c r="A648" s="197"/>
      <c r="B648" s="133"/>
      <c r="C648" s="133"/>
      <c r="D648" s="197"/>
      <c r="E648" s="133"/>
      <c r="F648" s="198"/>
      <c r="G648" s="198"/>
      <c r="H648" s="200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  <c r="AA648" s="133"/>
      <c r="AB648" s="133"/>
      <c r="AC648" s="133"/>
      <c r="AD648" s="133"/>
      <c r="AE648" s="133"/>
      <c r="AF648" s="133"/>
    </row>
    <row r="649">
      <c r="A649" s="197"/>
      <c r="B649" s="133"/>
      <c r="C649" s="133"/>
      <c r="D649" s="197"/>
      <c r="E649" s="133"/>
      <c r="F649" s="198"/>
      <c r="G649" s="198"/>
      <c r="H649" s="200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  <c r="AA649" s="133"/>
      <c r="AB649" s="133"/>
      <c r="AC649" s="133"/>
      <c r="AD649" s="133"/>
      <c r="AE649" s="133"/>
      <c r="AF649" s="133"/>
    </row>
    <row r="650">
      <c r="A650" s="197"/>
      <c r="B650" s="133"/>
      <c r="C650" s="133"/>
      <c r="D650" s="197"/>
      <c r="E650" s="133"/>
      <c r="F650" s="198"/>
      <c r="G650" s="198"/>
      <c r="H650" s="200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  <c r="AA650" s="133"/>
      <c r="AB650" s="133"/>
      <c r="AC650" s="133"/>
      <c r="AD650" s="133"/>
      <c r="AE650" s="133"/>
      <c r="AF650" s="133"/>
    </row>
    <row r="651">
      <c r="A651" s="197"/>
      <c r="B651" s="133"/>
      <c r="C651" s="133"/>
      <c r="D651" s="197"/>
      <c r="E651" s="133"/>
      <c r="F651" s="198"/>
      <c r="G651" s="198"/>
      <c r="H651" s="200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  <c r="AA651" s="133"/>
      <c r="AB651" s="133"/>
      <c r="AC651" s="133"/>
      <c r="AD651" s="133"/>
      <c r="AE651" s="133"/>
      <c r="AF651" s="133"/>
    </row>
    <row r="652">
      <c r="A652" s="197"/>
      <c r="B652" s="133"/>
      <c r="C652" s="133"/>
      <c r="D652" s="197"/>
      <c r="E652" s="133"/>
      <c r="F652" s="198"/>
      <c r="G652" s="198"/>
      <c r="H652" s="200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  <c r="AA652" s="133"/>
      <c r="AB652" s="133"/>
      <c r="AC652" s="133"/>
      <c r="AD652" s="133"/>
      <c r="AE652" s="133"/>
      <c r="AF652" s="133"/>
    </row>
    <row r="653">
      <c r="A653" s="197"/>
      <c r="B653" s="133"/>
      <c r="C653" s="133"/>
      <c r="D653" s="197"/>
      <c r="E653" s="133"/>
      <c r="F653" s="198"/>
      <c r="G653" s="198"/>
      <c r="H653" s="200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  <c r="AA653" s="133"/>
      <c r="AB653" s="133"/>
      <c r="AC653" s="133"/>
      <c r="AD653" s="133"/>
      <c r="AE653" s="133"/>
      <c r="AF653" s="133"/>
    </row>
    <row r="654">
      <c r="A654" s="197"/>
      <c r="B654" s="133"/>
      <c r="C654" s="133"/>
      <c r="D654" s="197"/>
      <c r="E654" s="133"/>
      <c r="F654" s="198"/>
      <c r="G654" s="198"/>
      <c r="H654" s="200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  <c r="AA654" s="133"/>
      <c r="AB654" s="133"/>
      <c r="AC654" s="133"/>
      <c r="AD654" s="133"/>
      <c r="AE654" s="133"/>
      <c r="AF654" s="133"/>
    </row>
    <row r="655">
      <c r="A655" s="197"/>
      <c r="B655" s="133"/>
      <c r="C655" s="133"/>
      <c r="D655" s="197"/>
      <c r="E655" s="133"/>
      <c r="F655" s="198"/>
      <c r="G655" s="198"/>
      <c r="H655" s="200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  <c r="AB655" s="133"/>
      <c r="AC655" s="133"/>
      <c r="AD655" s="133"/>
      <c r="AE655" s="133"/>
      <c r="AF655" s="133"/>
    </row>
    <row r="656">
      <c r="A656" s="197"/>
      <c r="B656" s="133"/>
      <c r="C656" s="133"/>
      <c r="D656" s="197"/>
      <c r="E656" s="133"/>
      <c r="F656" s="198"/>
      <c r="G656" s="198"/>
      <c r="H656" s="200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  <c r="AA656" s="133"/>
      <c r="AB656" s="133"/>
      <c r="AC656" s="133"/>
      <c r="AD656" s="133"/>
      <c r="AE656" s="133"/>
      <c r="AF656" s="133"/>
    </row>
    <row r="657">
      <c r="A657" s="197"/>
      <c r="B657" s="133"/>
      <c r="C657" s="133"/>
      <c r="D657" s="197"/>
      <c r="E657" s="133"/>
      <c r="F657" s="198"/>
      <c r="G657" s="198"/>
      <c r="H657" s="200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  <c r="AA657" s="133"/>
      <c r="AB657" s="133"/>
      <c r="AC657" s="133"/>
      <c r="AD657" s="133"/>
      <c r="AE657" s="133"/>
      <c r="AF657" s="133"/>
    </row>
    <row r="658">
      <c r="A658" s="197"/>
      <c r="B658" s="133"/>
      <c r="C658" s="133"/>
      <c r="D658" s="197"/>
      <c r="E658" s="133"/>
      <c r="F658" s="198"/>
      <c r="G658" s="198"/>
      <c r="H658" s="200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  <c r="AB658" s="133"/>
      <c r="AC658" s="133"/>
      <c r="AD658" s="133"/>
      <c r="AE658" s="133"/>
      <c r="AF658" s="133"/>
    </row>
    <row r="659">
      <c r="A659" s="197"/>
      <c r="B659" s="133"/>
      <c r="C659" s="133"/>
      <c r="D659" s="197"/>
      <c r="E659" s="133"/>
      <c r="F659" s="198"/>
      <c r="G659" s="198"/>
      <c r="H659" s="200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  <c r="AA659" s="133"/>
      <c r="AB659" s="133"/>
      <c r="AC659" s="133"/>
      <c r="AD659" s="133"/>
      <c r="AE659" s="133"/>
      <c r="AF659" s="133"/>
    </row>
    <row r="660">
      <c r="A660" s="197"/>
      <c r="B660" s="133"/>
      <c r="C660" s="133"/>
      <c r="D660" s="197"/>
      <c r="E660" s="133"/>
      <c r="F660" s="198"/>
      <c r="G660" s="198"/>
      <c r="H660" s="200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  <c r="AA660" s="133"/>
      <c r="AB660" s="133"/>
      <c r="AC660" s="133"/>
      <c r="AD660" s="133"/>
      <c r="AE660" s="133"/>
      <c r="AF660" s="133"/>
    </row>
    <row r="661">
      <c r="A661" s="197"/>
      <c r="B661" s="133"/>
      <c r="C661" s="133"/>
      <c r="D661" s="197"/>
      <c r="E661" s="133"/>
      <c r="F661" s="198"/>
      <c r="G661" s="198"/>
      <c r="H661" s="200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  <c r="AA661" s="133"/>
      <c r="AB661" s="133"/>
      <c r="AC661" s="133"/>
      <c r="AD661" s="133"/>
      <c r="AE661" s="133"/>
      <c r="AF661" s="133"/>
    </row>
    <row r="662">
      <c r="A662" s="197"/>
      <c r="B662" s="133"/>
      <c r="C662" s="133"/>
      <c r="D662" s="197"/>
      <c r="E662" s="133"/>
      <c r="F662" s="198"/>
      <c r="G662" s="198"/>
      <c r="H662" s="200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  <c r="AA662" s="133"/>
      <c r="AB662" s="133"/>
      <c r="AC662" s="133"/>
      <c r="AD662" s="133"/>
      <c r="AE662" s="133"/>
      <c r="AF662" s="133"/>
    </row>
    <row r="663">
      <c r="A663" s="197"/>
      <c r="B663" s="133"/>
      <c r="C663" s="133"/>
      <c r="D663" s="197"/>
      <c r="E663" s="133"/>
      <c r="F663" s="198"/>
      <c r="G663" s="198"/>
      <c r="H663" s="200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  <c r="AA663" s="133"/>
      <c r="AB663" s="133"/>
      <c r="AC663" s="133"/>
      <c r="AD663" s="133"/>
      <c r="AE663" s="133"/>
      <c r="AF663" s="133"/>
    </row>
    <row r="664">
      <c r="A664" s="197"/>
      <c r="B664" s="133"/>
      <c r="C664" s="133"/>
      <c r="D664" s="197"/>
      <c r="E664" s="133"/>
      <c r="F664" s="198"/>
      <c r="G664" s="198"/>
      <c r="H664" s="200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  <c r="AA664" s="133"/>
      <c r="AB664" s="133"/>
      <c r="AC664" s="133"/>
      <c r="AD664" s="133"/>
      <c r="AE664" s="133"/>
      <c r="AF664" s="133"/>
    </row>
    <row r="665">
      <c r="A665" s="197"/>
      <c r="B665" s="133"/>
      <c r="C665" s="133"/>
      <c r="D665" s="197"/>
      <c r="E665" s="133"/>
      <c r="F665" s="198"/>
      <c r="G665" s="198"/>
      <c r="H665" s="200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  <c r="AA665" s="133"/>
      <c r="AB665" s="133"/>
      <c r="AC665" s="133"/>
      <c r="AD665" s="133"/>
      <c r="AE665" s="133"/>
      <c r="AF665" s="133"/>
    </row>
    <row r="666">
      <c r="A666" s="197"/>
      <c r="B666" s="133"/>
      <c r="C666" s="133"/>
      <c r="D666" s="197"/>
      <c r="E666" s="133"/>
      <c r="F666" s="198"/>
      <c r="G666" s="198"/>
      <c r="H666" s="200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  <c r="AA666" s="133"/>
      <c r="AB666" s="133"/>
      <c r="AC666" s="133"/>
      <c r="AD666" s="133"/>
      <c r="AE666" s="133"/>
      <c r="AF666" s="133"/>
    </row>
    <row r="667">
      <c r="A667" s="197"/>
      <c r="B667" s="133"/>
      <c r="C667" s="133"/>
      <c r="D667" s="197"/>
      <c r="E667" s="133"/>
      <c r="F667" s="198"/>
      <c r="G667" s="198"/>
      <c r="H667" s="200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  <c r="AA667" s="133"/>
      <c r="AB667" s="133"/>
      <c r="AC667" s="133"/>
      <c r="AD667" s="133"/>
      <c r="AE667" s="133"/>
      <c r="AF667" s="133"/>
    </row>
    <row r="668">
      <c r="A668" s="197"/>
      <c r="B668" s="133"/>
      <c r="C668" s="133"/>
      <c r="D668" s="197"/>
      <c r="E668" s="133"/>
      <c r="F668" s="198"/>
      <c r="G668" s="198"/>
      <c r="H668" s="200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  <c r="AA668" s="133"/>
      <c r="AB668" s="133"/>
      <c r="AC668" s="133"/>
      <c r="AD668" s="133"/>
      <c r="AE668" s="133"/>
      <c r="AF668" s="133"/>
    </row>
    <row r="669">
      <c r="A669" s="197"/>
      <c r="B669" s="133"/>
      <c r="C669" s="133"/>
      <c r="D669" s="197"/>
      <c r="E669" s="133"/>
      <c r="F669" s="198"/>
      <c r="G669" s="198"/>
      <c r="H669" s="200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  <c r="AA669" s="133"/>
      <c r="AB669" s="133"/>
      <c r="AC669" s="133"/>
      <c r="AD669" s="133"/>
      <c r="AE669" s="133"/>
      <c r="AF669" s="133"/>
    </row>
    <row r="670">
      <c r="A670" s="197"/>
      <c r="B670" s="133"/>
      <c r="C670" s="133"/>
      <c r="D670" s="197"/>
      <c r="E670" s="133"/>
      <c r="F670" s="198"/>
      <c r="G670" s="198"/>
      <c r="H670" s="200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  <c r="AA670" s="133"/>
      <c r="AB670" s="133"/>
      <c r="AC670" s="133"/>
      <c r="AD670" s="133"/>
      <c r="AE670" s="133"/>
      <c r="AF670" s="133"/>
    </row>
    <row r="671">
      <c r="A671" s="197"/>
      <c r="B671" s="133"/>
      <c r="C671" s="133"/>
      <c r="D671" s="197"/>
      <c r="E671" s="133"/>
      <c r="F671" s="198"/>
      <c r="G671" s="198"/>
      <c r="H671" s="200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  <c r="AA671" s="133"/>
      <c r="AB671" s="133"/>
      <c r="AC671" s="133"/>
      <c r="AD671" s="133"/>
      <c r="AE671" s="133"/>
      <c r="AF671" s="133"/>
    </row>
    <row r="672">
      <c r="A672" s="197"/>
      <c r="B672" s="133"/>
      <c r="C672" s="133"/>
      <c r="D672" s="197"/>
      <c r="E672" s="133"/>
      <c r="F672" s="198"/>
      <c r="G672" s="198"/>
      <c r="H672" s="200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  <c r="AA672" s="133"/>
      <c r="AB672" s="133"/>
      <c r="AC672" s="133"/>
      <c r="AD672" s="133"/>
      <c r="AE672" s="133"/>
      <c r="AF672" s="133"/>
    </row>
    <row r="673">
      <c r="A673" s="197"/>
      <c r="B673" s="133"/>
      <c r="C673" s="133"/>
      <c r="D673" s="197"/>
      <c r="E673" s="133"/>
      <c r="F673" s="198"/>
      <c r="G673" s="198"/>
      <c r="H673" s="200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  <c r="AA673" s="133"/>
      <c r="AB673" s="133"/>
      <c r="AC673" s="133"/>
      <c r="AD673" s="133"/>
      <c r="AE673" s="133"/>
      <c r="AF673" s="133"/>
    </row>
    <row r="674">
      <c r="A674" s="197"/>
      <c r="B674" s="133"/>
      <c r="C674" s="133"/>
      <c r="D674" s="197"/>
      <c r="E674" s="133"/>
      <c r="F674" s="198"/>
      <c r="G674" s="198"/>
      <c r="H674" s="200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  <c r="AA674" s="133"/>
      <c r="AB674" s="133"/>
      <c r="AC674" s="133"/>
      <c r="AD674" s="133"/>
      <c r="AE674" s="133"/>
      <c r="AF674" s="133"/>
    </row>
    <row r="675">
      <c r="A675" s="197"/>
      <c r="B675" s="133"/>
      <c r="C675" s="133"/>
      <c r="D675" s="197"/>
      <c r="E675" s="133"/>
      <c r="F675" s="198"/>
      <c r="G675" s="198"/>
      <c r="H675" s="200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  <c r="AA675" s="133"/>
      <c r="AB675" s="133"/>
      <c r="AC675" s="133"/>
      <c r="AD675" s="133"/>
      <c r="AE675" s="133"/>
      <c r="AF675" s="133"/>
    </row>
    <row r="676">
      <c r="A676" s="197"/>
      <c r="B676" s="133"/>
      <c r="C676" s="133"/>
      <c r="D676" s="197"/>
      <c r="E676" s="133"/>
      <c r="F676" s="198"/>
      <c r="G676" s="198"/>
      <c r="H676" s="200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  <c r="AA676" s="133"/>
      <c r="AB676" s="133"/>
      <c r="AC676" s="133"/>
      <c r="AD676" s="133"/>
      <c r="AE676" s="133"/>
      <c r="AF676" s="133"/>
    </row>
    <row r="677">
      <c r="A677" s="197"/>
      <c r="B677" s="133"/>
      <c r="C677" s="133"/>
      <c r="D677" s="197"/>
      <c r="E677" s="133"/>
      <c r="F677" s="198"/>
      <c r="G677" s="198"/>
      <c r="H677" s="200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  <c r="AA677" s="133"/>
      <c r="AB677" s="133"/>
      <c r="AC677" s="133"/>
      <c r="AD677" s="133"/>
      <c r="AE677" s="133"/>
      <c r="AF677" s="133"/>
    </row>
    <row r="678">
      <c r="A678" s="197"/>
      <c r="B678" s="133"/>
      <c r="C678" s="133"/>
      <c r="D678" s="197"/>
      <c r="E678" s="133"/>
      <c r="F678" s="198"/>
      <c r="G678" s="198"/>
      <c r="H678" s="200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  <c r="AA678" s="133"/>
      <c r="AB678" s="133"/>
      <c r="AC678" s="133"/>
      <c r="AD678" s="133"/>
      <c r="AE678" s="133"/>
      <c r="AF678" s="133"/>
    </row>
    <row r="679">
      <c r="A679" s="197"/>
      <c r="B679" s="133"/>
      <c r="C679" s="133"/>
      <c r="D679" s="197"/>
      <c r="E679" s="133"/>
      <c r="F679" s="198"/>
      <c r="G679" s="198"/>
      <c r="H679" s="200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  <c r="AA679" s="133"/>
      <c r="AB679" s="133"/>
      <c r="AC679" s="133"/>
      <c r="AD679" s="133"/>
      <c r="AE679" s="133"/>
      <c r="AF679" s="133"/>
    </row>
    <row r="680">
      <c r="A680" s="197"/>
      <c r="B680" s="133"/>
      <c r="C680" s="133"/>
      <c r="D680" s="197"/>
      <c r="E680" s="133"/>
      <c r="F680" s="198"/>
      <c r="G680" s="198"/>
      <c r="H680" s="200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  <c r="AA680" s="133"/>
      <c r="AB680" s="133"/>
      <c r="AC680" s="133"/>
      <c r="AD680" s="133"/>
      <c r="AE680" s="133"/>
      <c r="AF680" s="133"/>
    </row>
    <row r="681">
      <c r="A681" s="197"/>
      <c r="B681" s="133"/>
      <c r="C681" s="133"/>
      <c r="D681" s="197"/>
      <c r="E681" s="133"/>
      <c r="F681" s="198"/>
      <c r="G681" s="198"/>
      <c r="H681" s="200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  <c r="AB681" s="133"/>
      <c r="AC681" s="133"/>
      <c r="AD681" s="133"/>
      <c r="AE681" s="133"/>
      <c r="AF681" s="133"/>
    </row>
    <row r="682">
      <c r="A682" s="197"/>
      <c r="B682" s="133"/>
      <c r="C682" s="133"/>
      <c r="D682" s="197"/>
      <c r="E682" s="133"/>
      <c r="F682" s="198"/>
      <c r="G682" s="198"/>
      <c r="H682" s="200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  <c r="AB682" s="133"/>
      <c r="AC682" s="133"/>
      <c r="AD682" s="133"/>
      <c r="AE682" s="133"/>
      <c r="AF682" s="133"/>
    </row>
    <row r="683">
      <c r="A683" s="197"/>
      <c r="B683" s="133"/>
      <c r="C683" s="133"/>
      <c r="D683" s="197"/>
      <c r="E683" s="133"/>
      <c r="F683" s="198"/>
      <c r="G683" s="198"/>
      <c r="H683" s="200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  <c r="AA683" s="133"/>
      <c r="AB683" s="133"/>
      <c r="AC683" s="133"/>
      <c r="AD683" s="133"/>
      <c r="AE683" s="133"/>
      <c r="AF683" s="133"/>
    </row>
    <row r="684">
      <c r="A684" s="197"/>
      <c r="B684" s="133"/>
      <c r="C684" s="133"/>
      <c r="D684" s="197"/>
      <c r="E684" s="133"/>
      <c r="F684" s="198"/>
      <c r="G684" s="198"/>
      <c r="H684" s="200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  <c r="AA684" s="133"/>
      <c r="AB684" s="133"/>
      <c r="AC684" s="133"/>
      <c r="AD684" s="133"/>
      <c r="AE684" s="133"/>
      <c r="AF684" s="133"/>
    </row>
    <row r="685">
      <c r="A685" s="197"/>
      <c r="B685" s="133"/>
      <c r="C685" s="133"/>
      <c r="D685" s="197"/>
      <c r="E685" s="133"/>
      <c r="F685" s="198"/>
      <c r="G685" s="198"/>
      <c r="H685" s="200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  <c r="AA685" s="133"/>
      <c r="AB685" s="133"/>
      <c r="AC685" s="133"/>
      <c r="AD685" s="133"/>
      <c r="AE685" s="133"/>
      <c r="AF685" s="133"/>
    </row>
    <row r="686">
      <c r="A686" s="197"/>
      <c r="B686" s="133"/>
      <c r="C686" s="133"/>
      <c r="D686" s="197"/>
      <c r="E686" s="133"/>
      <c r="F686" s="198"/>
      <c r="G686" s="198"/>
      <c r="H686" s="200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  <c r="AB686" s="133"/>
      <c r="AC686" s="133"/>
      <c r="AD686" s="133"/>
      <c r="AE686" s="133"/>
      <c r="AF686" s="133"/>
    </row>
    <row r="687">
      <c r="A687" s="197"/>
      <c r="B687" s="133"/>
      <c r="C687" s="133"/>
      <c r="D687" s="197"/>
      <c r="E687" s="133"/>
      <c r="F687" s="198"/>
      <c r="G687" s="198"/>
      <c r="H687" s="200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  <c r="AB687" s="133"/>
      <c r="AC687" s="133"/>
      <c r="AD687" s="133"/>
      <c r="AE687" s="133"/>
      <c r="AF687" s="133"/>
    </row>
    <row r="688">
      <c r="A688" s="197"/>
      <c r="B688" s="133"/>
      <c r="C688" s="133"/>
      <c r="D688" s="197"/>
      <c r="E688" s="133"/>
      <c r="F688" s="198"/>
      <c r="G688" s="198"/>
      <c r="H688" s="200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  <c r="AB688" s="133"/>
      <c r="AC688" s="133"/>
      <c r="AD688" s="133"/>
      <c r="AE688" s="133"/>
      <c r="AF688" s="133"/>
    </row>
    <row r="689">
      <c r="A689" s="197"/>
      <c r="B689" s="133"/>
      <c r="C689" s="133"/>
      <c r="D689" s="197"/>
      <c r="E689" s="133"/>
      <c r="F689" s="198"/>
      <c r="G689" s="198"/>
      <c r="H689" s="200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  <c r="AA689" s="133"/>
      <c r="AB689" s="133"/>
      <c r="AC689" s="133"/>
      <c r="AD689" s="133"/>
      <c r="AE689" s="133"/>
      <c r="AF689" s="133"/>
    </row>
    <row r="690">
      <c r="A690" s="197"/>
      <c r="B690" s="133"/>
      <c r="C690" s="133"/>
      <c r="D690" s="197"/>
      <c r="E690" s="133"/>
      <c r="F690" s="198"/>
      <c r="G690" s="198"/>
      <c r="H690" s="200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  <c r="AA690" s="133"/>
      <c r="AB690" s="133"/>
      <c r="AC690" s="133"/>
      <c r="AD690" s="133"/>
      <c r="AE690" s="133"/>
      <c r="AF690" s="133"/>
    </row>
    <row r="691">
      <c r="A691" s="197"/>
      <c r="B691" s="133"/>
      <c r="C691" s="133"/>
      <c r="D691" s="197"/>
      <c r="E691" s="133"/>
      <c r="F691" s="198"/>
      <c r="G691" s="198"/>
      <c r="H691" s="200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  <c r="AA691" s="133"/>
      <c r="AB691" s="133"/>
      <c r="AC691" s="133"/>
      <c r="AD691" s="133"/>
      <c r="AE691" s="133"/>
      <c r="AF691" s="133"/>
    </row>
    <row r="692">
      <c r="A692" s="197"/>
      <c r="B692" s="133"/>
      <c r="C692" s="133"/>
      <c r="D692" s="197"/>
      <c r="E692" s="133"/>
      <c r="F692" s="198"/>
      <c r="G692" s="198"/>
      <c r="H692" s="200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  <c r="AA692" s="133"/>
      <c r="AB692" s="133"/>
      <c r="AC692" s="133"/>
      <c r="AD692" s="133"/>
      <c r="AE692" s="133"/>
      <c r="AF692" s="133"/>
    </row>
    <row r="693">
      <c r="A693" s="197"/>
      <c r="B693" s="133"/>
      <c r="C693" s="133"/>
      <c r="D693" s="197"/>
      <c r="E693" s="133"/>
      <c r="F693" s="198"/>
      <c r="G693" s="198"/>
      <c r="H693" s="200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  <c r="AA693" s="133"/>
      <c r="AB693" s="133"/>
      <c r="AC693" s="133"/>
      <c r="AD693" s="133"/>
      <c r="AE693" s="133"/>
      <c r="AF693" s="133"/>
    </row>
    <row r="694">
      <c r="A694" s="197"/>
      <c r="B694" s="133"/>
      <c r="C694" s="133"/>
      <c r="D694" s="197"/>
      <c r="E694" s="133"/>
      <c r="F694" s="198"/>
      <c r="G694" s="198"/>
      <c r="H694" s="200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  <c r="AA694" s="133"/>
      <c r="AB694" s="133"/>
      <c r="AC694" s="133"/>
      <c r="AD694" s="133"/>
      <c r="AE694" s="133"/>
      <c r="AF694" s="133"/>
    </row>
    <row r="695">
      <c r="A695" s="197"/>
      <c r="B695" s="133"/>
      <c r="C695" s="133"/>
      <c r="D695" s="197"/>
      <c r="E695" s="133"/>
      <c r="F695" s="198"/>
      <c r="G695" s="198"/>
      <c r="H695" s="200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  <c r="AA695" s="133"/>
      <c r="AB695" s="133"/>
      <c r="AC695" s="133"/>
      <c r="AD695" s="133"/>
      <c r="AE695" s="133"/>
      <c r="AF695" s="133"/>
    </row>
    <row r="696">
      <c r="A696" s="197"/>
      <c r="B696" s="133"/>
      <c r="C696" s="133"/>
      <c r="D696" s="197"/>
      <c r="E696" s="133"/>
      <c r="F696" s="198"/>
      <c r="G696" s="198"/>
      <c r="H696" s="200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  <c r="AA696" s="133"/>
      <c r="AB696" s="133"/>
      <c r="AC696" s="133"/>
      <c r="AD696" s="133"/>
      <c r="AE696" s="133"/>
      <c r="AF696" s="133"/>
    </row>
    <row r="697">
      <c r="A697" s="197"/>
      <c r="B697" s="133"/>
      <c r="C697" s="133"/>
      <c r="D697" s="197"/>
      <c r="E697" s="133"/>
      <c r="F697" s="198"/>
      <c r="G697" s="198"/>
      <c r="H697" s="200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  <c r="AA697" s="133"/>
      <c r="AB697" s="133"/>
      <c r="AC697" s="133"/>
      <c r="AD697" s="133"/>
      <c r="AE697" s="133"/>
      <c r="AF697" s="133"/>
    </row>
    <row r="698">
      <c r="A698" s="197"/>
      <c r="B698" s="133"/>
      <c r="C698" s="133"/>
      <c r="D698" s="197"/>
      <c r="E698" s="133"/>
      <c r="F698" s="198"/>
      <c r="G698" s="198"/>
      <c r="H698" s="200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  <c r="AB698" s="133"/>
      <c r="AC698" s="133"/>
      <c r="AD698" s="133"/>
      <c r="AE698" s="133"/>
      <c r="AF698" s="133"/>
    </row>
    <row r="699">
      <c r="A699" s="197"/>
      <c r="B699" s="133"/>
      <c r="C699" s="133"/>
      <c r="D699" s="197"/>
      <c r="E699" s="133"/>
      <c r="F699" s="198"/>
      <c r="G699" s="198"/>
      <c r="H699" s="200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  <c r="AB699" s="133"/>
      <c r="AC699" s="133"/>
      <c r="AD699" s="133"/>
      <c r="AE699" s="133"/>
      <c r="AF699" s="133"/>
    </row>
    <row r="700">
      <c r="A700" s="197"/>
      <c r="B700" s="133"/>
      <c r="C700" s="133"/>
      <c r="D700" s="197"/>
      <c r="E700" s="133"/>
      <c r="F700" s="198"/>
      <c r="G700" s="198"/>
      <c r="H700" s="200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  <c r="AB700" s="133"/>
      <c r="AC700" s="133"/>
      <c r="AD700" s="133"/>
      <c r="AE700" s="133"/>
      <c r="AF700" s="133"/>
    </row>
    <row r="701">
      <c r="A701" s="197"/>
      <c r="B701" s="133"/>
      <c r="C701" s="133"/>
      <c r="D701" s="197"/>
      <c r="E701" s="133"/>
      <c r="F701" s="198"/>
      <c r="G701" s="198"/>
      <c r="H701" s="200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  <c r="AA701" s="133"/>
      <c r="AB701" s="133"/>
      <c r="AC701" s="133"/>
      <c r="AD701" s="133"/>
      <c r="AE701" s="133"/>
      <c r="AF701" s="133"/>
    </row>
    <row r="702">
      <c r="A702" s="197"/>
      <c r="B702" s="133"/>
      <c r="C702" s="133"/>
      <c r="D702" s="197"/>
      <c r="E702" s="133"/>
      <c r="F702" s="198"/>
      <c r="G702" s="198"/>
      <c r="H702" s="200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  <c r="AA702" s="133"/>
      <c r="AB702" s="133"/>
      <c r="AC702" s="133"/>
      <c r="AD702" s="133"/>
      <c r="AE702" s="133"/>
      <c r="AF702" s="133"/>
    </row>
    <row r="703">
      <c r="A703" s="197"/>
      <c r="B703" s="133"/>
      <c r="C703" s="133"/>
      <c r="D703" s="197"/>
      <c r="E703" s="133"/>
      <c r="F703" s="198"/>
      <c r="G703" s="198"/>
      <c r="H703" s="200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  <c r="AA703" s="133"/>
      <c r="AB703" s="133"/>
      <c r="AC703" s="133"/>
      <c r="AD703" s="133"/>
      <c r="AE703" s="133"/>
      <c r="AF703" s="133"/>
    </row>
    <row r="704">
      <c r="A704" s="197"/>
      <c r="B704" s="133"/>
      <c r="C704" s="133"/>
      <c r="D704" s="197"/>
      <c r="E704" s="133"/>
      <c r="F704" s="198"/>
      <c r="G704" s="198"/>
      <c r="H704" s="200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  <c r="AA704" s="133"/>
      <c r="AB704" s="133"/>
      <c r="AC704" s="133"/>
      <c r="AD704" s="133"/>
      <c r="AE704" s="133"/>
      <c r="AF704" s="133"/>
    </row>
    <row r="705">
      <c r="A705" s="197"/>
      <c r="B705" s="133"/>
      <c r="C705" s="133"/>
      <c r="D705" s="197"/>
      <c r="E705" s="133"/>
      <c r="F705" s="198"/>
      <c r="G705" s="198"/>
      <c r="H705" s="200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  <c r="AA705" s="133"/>
      <c r="AB705" s="133"/>
      <c r="AC705" s="133"/>
      <c r="AD705" s="133"/>
      <c r="AE705" s="133"/>
      <c r="AF705" s="133"/>
    </row>
    <row r="706">
      <c r="A706" s="197"/>
      <c r="B706" s="133"/>
      <c r="C706" s="133"/>
      <c r="D706" s="197"/>
      <c r="E706" s="133"/>
      <c r="F706" s="198"/>
      <c r="G706" s="198"/>
      <c r="H706" s="200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  <c r="AB706" s="133"/>
      <c r="AC706" s="133"/>
      <c r="AD706" s="133"/>
      <c r="AE706" s="133"/>
      <c r="AF706" s="133"/>
    </row>
    <row r="707">
      <c r="A707" s="197"/>
      <c r="B707" s="133"/>
      <c r="C707" s="133"/>
      <c r="D707" s="197"/>
      <c r="E707" s="133"/>
      <c r="F707" s="198"/>
      <c r="G707" s="198"/>
      <c r="H707" s="200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  <c r="AA707" s="133"/>
      <c r="AB707" s="133"/>
      <c r="AC707" s="133"/>
      <c r="AD707" s="133"/>
      <c r="AE707" s="133"/>
      <c r="AF707" s="133"/>
    </row>
    <row r="708">
      <c r="A708" s="197"/>
      <c r="B708" s="133"/>
      <c r="C708" s="133"/>
      <c r="D708" s="197"/>
      <c r="E708" s="133"/>
      <c r="F708" s="198"/>
      <c r="G708" s="198"/>
      <c r="H708" s="200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  <c r="AA708" s="133"/>
      <c r="AB708" s="133"/>
      <c r="AC708" s="133"/>
      <c r="AD708" s="133"/>
      <c r="AE708" s="133"/>
      <c r="AF708" s="133"/>
    </row>
    <row r="709">
      <c r="A709" s="197"/>
      <c r="B709" s="133"/>
      <c r="C709" s="133"/>
      <c r="D709" s="197"/>
      <c r="E709" s="133"/>
      <c r="F709" s="198"/>
      <c r="G709" s="198"/>
      <c r="H709" s="200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  <c r="AA709" s="133"/>
      <c r="AB709" s="133"/>
      <c r="AC709" s="133"/>
      <c r="AD709" s="133"/>
      <c r="AE709" s="133"/>
      <c r="AF709" s="133"/>
    </row>
    <row r="710">
      <c r="A710" s="197"/>
      <c r="B710" s="133"/>
      <c r="C710" s="133"/>
      <c r="D710" s="197"/>
      <c r="E710" s="133"/>
      <c r="F710" s="198"/>
      <c r="G710" s="198"/>
      <c r="H710" s="200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  <c r="AA710" s="133"/>
      <c r="AB710" s="133"/>
      <c r="AC710" s="133"/>
      <c r="AD710" s="133"/>
      <c r="AE710" s="133"/>
      <c r="AF710" s="133"/>
    </row>
    <row r="711">
      <c r="A711" s="197"/>
      <c r="B711" s="133"/>
      <c r="C711" s="133"/>
      <c r="D711" s="197"/>
      <c r="E711" s="133"/>
      <c r="F711" s="198"/>
      <c r="G711" s="198"/>
      <c r="H711" s="200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  <c r="AA711" s="133"/>
      <c r="AB711" s="133"/>
      <c r="AC711" s="133"/>
      <c r="AD711" s="133"/>
      <c r="AE711" s="133"/>
      <c r="AF711" s="133"/>
    </row>
    <row r="712">
      <c r="A712" s="197"/>
      <c r="B712" s="133"/>
      <c r="C712" s="133"/>
      <c r="D712" s="197"/>
      <c r="E712" s="133"/>
      <c r="F712" s="198"/>
      <c r="G712" s="198"/>
      <c r="H712" s="200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  <c r="AA712" s="133"/>
      <c r="AB712" s="133"/>
      <c r="AC712" s="133"/>
      <c r="AD712" s="133"/>
      <c r="AE712" s="133"/>
      <c r="AF712" s="133"/>
    </row>
    <row r="713">
      <c r="A713" s="197"/>
      <c r="B713" s="133"/>
      <c r="C713" s="133"/>
      <c r="D713" s="197"/>
      <c r="E713" s="133"/>
      <c r="F713" s="198"/>
      <c r="G713" s="198"/>
      <c r="H713" s="200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  <c r="AA713" s="133"/>
      <c r="AB713" s="133"/>
      <c r="AC713" s="133"/>
      <c r="AD713" s="133"/>
      <c r="AE713" s="133"/>
      <c r="AF713" s="133"/>
    </row>
    <row r="714">
      <c r="A714" s="197"/>
      <c r="B714" s="133"/>
      <c r="C714" s="133"/>
      <c r="D714" s="197"/>
      <c r="E714" s="133"/>
      <c r="F714" s="198"/>
      <c r="G714" s="198"/>
      <c r="H714" s="200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  <c r="AA714" s="133"/>
      <c r="AB714" s="133"/>
      <c r="AC714" s="133"/>
      <c r="AD714" s="133"/>
      <c r="AE714" s="133"/>
      <c r="AF714" s="133"/>
    </row>
    <row r="715">
      <c r="A715" s="197"/>
      <c r="B715" s="133"/>
      <c r="C715" s="133"/>
      <c r="D715" s="197"/>
      <c r="E715" s="133"/>
      <c r="F715" s="198"/>
      <c r="G715" s="198"/>
      <c r="H715" s="200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  <c r="AA715" s="133"/>
      <c r="AB715" s="133"/>
      <c r="AC715" s="133"/>
      <c r="AD715" s="133"/>
      <c r="AE715" s="133"/>
      <c r="AF715" s="133"/>
    </row>
    <row r="716">
      <c r="A716" s="197"/>
      <c r="B716" s="133"/>
      <c r="C716" s="133"/>
      <c r="D716" s="197"/>
      <c r="E716" s="133"/>
      <c r="F716" s="198"/>
      <c r="G716" s="198"/>
      <c r="H716" s="200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  <c r="AA716" s="133"/>
      <c r="AB716" s="133"/>
      <c r="AC716" s="133"/>
      <c r="AD716" s="133"/>
      <c r="AE716" s="133"/>
      <c r="AF716" s="133"/>
    </row>
    <row r="717">
      <c r="A717" s="197"/>
      <c r="B717" s="133"/>
      <c r="C717" s="133"/>
      <c r="D717" s="197"/>
      <c r="E717" s="133"/>
      <c r="F717" s="198"/>
      <c r="G717" s="198"/>
      <c r="H717" s="200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  <c r="AA717" s="133"/>
      <c r="AB717" s="133"/>
      <c r="AC717" s="133"/>
      <c r="AD717" s="133"/>
      <c r="AE717" s="133"/>
      <c r="AF717" s="133"/>
    </row>
    <row r="718">
      <c r="A718" s="197"/>
      <c r="B718" s="133"/>
      <c r="C718" s="133"/>
      <c r="D718" s="197"/>
      <c r="E718" s="133"/>
      <c r="F718" s="198"/>
      <c r="G718" s="198"/>
      <c r="H718" s="200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  <c r="AA718" s="133"/>
      <c r="AB718" s="133"/>
      <c r="AC718" s="133"/>
      <c r="AD718" s="133"/>
      <c r="AE718" s="133"/>
      <c r="AF718" s="133"/>
    </row>
    <row r="719">
      <c r="A719" s="197"/>
      <c r="B719" s="133"/>
      <c r="C719" s="133"/>
      <c r="D719" s="197"/>
      <c r="E719" s="133"/>
      <c r="F719" s="198"/>
      <c r="G719" s="198"/>
      <c r="H719" s="200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  <c r="AA719" s="133"/>
      <c r="AB719" s="133"/>
      <c r="AC719" s="133"/>
      <c r="AD719" s="133"/>
      <c r="AE719" s="133"/>
      <c r="AF719" s="133"/>
    </row>
    <row r="720">
      <c r="A720" s="197"/>
      <c r="B720" s="133"/>
      <c r="C720" s="133"/>
      <c r="D720" s="197"/>
      <c r="E720" s="133"/>
      <c r="F720" s="198"/>
      <c r="G720" s="198"/>
      <c r="H720" s="200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  <c r="AA720" s="133"/>
      <c r="AB720" s="133"/>
      <c r="AC720" s="133"/>
      <c r="AD720" s="133"/>
      <c r="AE720" s="133"/>
      <c r="AF720" s="133"/>
    </row>
    <row r="721">
      <c r="A721" s="197"/>
      <c r="B721" s="133"/>
      <c r="C721" s="133"/>
      <c r="D721" s="197"/>
      <c r="E721" s="133"/>
      <c r="F721" s="198"/>
      <c r="G721" s="198"/>
      <c r="H721" s="200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/>
      <c r="AB721" s="133"/>
      <c r="AC721" s="133"/>
      <c r="AD721" s="133"/>
      <c r="AE721" s="133"/>
      <c r="AF721" s="133"/>
    </row>
    <row r="722">
      <c r="A722" s="197"/>
      <c r="B722" s="133"/>
      <c r="C722" s="133"/>
      <c r="D722" s="197"/>
      <c r="E722" s="133"/>
      <c r="F722" s="198"/>
      <c r="G722" s="198"/>
      <c r="H722" s="200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  <c r="AA722" s="133"/>
      <c r="AB722" s="133"/>
      <c r="AC722" s="133"/>
      <c r="AD722" s="133"/>
      <c r="AE722" s="133"/>
      <c r="AF722" s="133"/>
    </row>
    <row r="723">
      <c r="A723" s="197"/>
      <c r="B723" s="133"/>
      <c r="C723" s="133"/>
      <c r="D723" s="197"/>
      <c r="E723" s="133"/>
      <c r="F723" s="198"/>
      <c r="G723" s="198"/>
      <c r="H723" s="200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  <c r="AA723" s="133"/>
      <c r="AB723" s="133"/>
      <c r="AC723" s="133"/>
      <c r="AD723" s="133"/>
      <c r="AE723" s="133"/>
      <c r="AF723" s="133"/>
    </row>
    <row r="724">
      <c r="A724" s="197"/>
      <c r="B724" s="133"/>
      <c r="C724" s="133"/>
      <c r="D724" s="197"/>
      <c r="E724" s="133"/>
      <c r="F724" s="198"/>
      <c r="G724" s="198"/>
      <c r="H724" s="200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  <c r="AA724" s="133"/>
      <c r="AB724" s="133"/>
      <c r="AC724" s="133"/>
      <c r="AD724" s="133"/>
      <c r="AE724" s="133"/>
      <c r="AF724" s="133"/>
    </row>
    <row r="725">
      <c r="A725" s="197"/>
      <c r="B725" s="133"/>
      <c r="C725" s="133"/>
      <c r="D725" s="197"/>
      <c r="E725" s="133"/>
      <c r="F725" s="198"/>
      <c r="G725" s="198"/>
      <c r="H725" s="200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  <c r="AA725" s="133"/>
      <c r="AB725" s="133"/>
      <c r="AC725" s="133"/>
      <c r="AD725" s="133"/>
      <c r="AE725" s="133"/>
      <c r="AF725" s="133"/>
    </row>
    <row r="726">
      <c r="A726" s="197"/>
      <c r="B726" s="133"/>
      <c r="C726" s="133"/>
      <c r="D726" s="197"/>
      <c r="E726" s="133"/>
      <c r="F726" s="198"/>
      <c r="G726" s="198"/>
      <c r="H726" s="200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  <c r="AA726" s="133"/>
      <c r="AB726" s="133"/>
      <c r="AC726" s="133"/>
      <c r="AD726" s="133"/>
      <c r="AE726" s="133"/>
      <c r="AF726" s="133"/>
    </row>
    <row r="727">
      <c r="A727" s="197"/>
      <c r="B727" s="133"/>
      <c r="C727" s="133"/>
      <c r="D727" s="197"/>
      <c r="E727" s="133"/>
      <c r="F727" s="198"/>
      <c r="G727" s="198"/>
      <c r="H727" s="200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  <c r="AA727" s="133"/>
      <c r="AB727" s="133"/>
      <c r="AC727" s="133"/>
      <c r="AD727" s="133"/>
      <c r="AE727" s="133"/>
      <c r="AF727" s="133"/>
    </row>
    <row r="728">
      <c r="A728" s="197"/>
      <c r="B728" s="133"/>
      <c r="C728" s="133"/>
      <c r="D728" s="197"/>
      <c r="E728" s="133"/>
      <c r="F728" s="198"/>
      <c r="G728" s="198"/>
      <c r="H728" s="200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  <c r="AA728" s="133"/>
      <c r="AB728" s="133"/>
      <c r="AC728" s="133"/>
      <c r="AD728" s="133"/>
      <c r="AE728" s="133"/>
      <c r="AF728" s="133"/>
    </row>
    <row r="729">
      <c r="A729" s="197"/>
      <c r="B729" s="133"/>
      <c r="C729" s="133"/>
      <c r="D729" s="197"/>
      <c r="E729" s="133"/>
      <c r="F729" s="198"/>
      <c r="G729" s="198"/>
      <c r="H729" s="200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  <c r="AA729" s="133"/>
      <c r="AB729" s="133"/>
      <c r="AC729" s="133"/>
      <c r="AD729" s="133"/>
      <c r="AE729" s="133"/>
      <c r="AF729" s="133"/>
    </row>
    <row r="730">
      <c r="A730" s="197"/>
      <c r="B730" s="133"/>
      <c r="C730" s="133"/>
      <c r="D730" s="197"/>
      <c r="E730" s="133"/>
      <c r="F730" s="198"/>
      <c r="G730" s="198"/>
      <c r="H730" s="200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  <c r="AB730" s="133"/>
      <c r="AC730" s="133"/>
      <c r="AD730" s="133"/>
      <c r="AE730" s="133"/>
      <c r="AF730" s="133"/>
    </row>
    <row r="731">
      <c r="A731" s="197"/>
      <c r="B731" s="133"/>
      <c r="C731" s="133"/>
      <c r="D731" s="197"/>
      <c r="E731" s="133"/>
      <c r="F731" s="198"/>
      <c r="G731" s="198"/>
      <c r="H731" s="200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  <c r="AA731" s="133"/>
      <c r="AB731" s="133"/>
      <c r="AC731" s="133"/>
      <c r="AD731" s="133"/>
      <c r="AE731" s="133"/>
      <c r="AF731" s="133"/>
    </row>
    <row r="732">
      <c r="A732" s="197"/>
      <c r="B732" s="133"/>
      <c r="C732" s="133"/>
      <c r="D732" s="197"/>
      <c r="E732" s="133"/>
      <c r="F732" s="198"/>
      <c r="G732" s="198"/>
      <c r="H732" s="200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  <c r="AA732" s="133"/>
      <c r="AB732" s="133"/>
      <c r="AC732" s="133"/>
      <c r="AD732" s="133"/>
      <c r="AE732" s="133"/>
      <c r="AF732" s="133"/>
    </row>
    <row r="733">
      <c r="A733" s="197"/>
      <c r="B733" s="133"/>
      <c r="C733" s="133"/>
      <c r="D733" s="197"/>
      <c r="E733" s="133"/>
      <c r="F733" s="198"/>
      <c r="G733" s="198"/>
      <c r="H733" s="200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  <c r="AA733" s="133"/>
      <c r="AB733" s="133"/>
      <c r="AC733" s="133"/>
      <c r="AD733" s="133"/>
      <c r="AE733" s="133"/>
      <c r="AF733" s="133"/>
    </row>
    <row r="734">
      <c r="A734" s="197"/>
      <c r="B734" s="133"/>
      <c r="C734" s="133"/>
      <c r="D734" s="197"/>
      <c r="E734" s="133"/>
      <c r="F734" s="198"/>
      <c r="G734" s="198"/>
      <c r="H734" s="200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  <c r="AA734" s="133"/>
      <c r="AB734" s="133"/>
      <c r="AC734" s="133"/>
      <c r="AD734" s="133"/>
      <c r="AE734" s="133"/>
      <c r="AF734" s="133"/>
    </row>
    <row r="735">
      <c r="A735" s="197"/>
      <c r="B735" s="133"/>
      <c r="C735" s="133"/>
      <c r="D735" s="197"/>
      <c r="E735" s="133"/>
      <c r="F735" s="198"/>
      <c r="G735" s="198"/>
      <c r="H735" s="200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  <c r="AA735" s="133"/>
      <c r="AB735" s="133"/>
      <c r="AC735" s="133"/>
      <c r="AD735" s="133"/>
      <c r="AE735" s="133"/>
      <c r="AF735" s="133"/>
    </row>
    <row r="736">
      <c r="A736" s="197"/>
      <c r="B736" s="133"/>
      <c r="C736" s="133"/>
      <c r="D736" s="197"/>
      <c r="E736" s="133"/>
      <c r="F736" s="198"/>
      <c r="G736" s="198"/>
      <c r="H736" s="200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  <c r="AA736" s="133"/>
      <c r="AB736" s="133"/>
      <c r="AC736" s="133"/>
      <c r="AD736" s="133"/>
      <c r="AE736" s="133"/>
      <c r="AF736" s="133"/>
    </row>
    <row r="737">
      <c r="A737" s="197"/>
      <c r="B737" s="133"/>
      <c r="C737" s="133"/>
      <c r="D737" s="197"/>
      <c r="E737" s="133"/>
      <c r="F737" s="198"/>
      <c r="G737" s="198"/>
      <c r="H737" s="200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  <c r="AA737" s="133"/>
      <c r="AB737" s="133"/>
      <c r="AC737" s="133"/>
      <c r="AD737" s="133"/>
      <c r="AE737" s="133"/>
      <c r="AF737" s="133"/>
    </row>
    <row r="738">
      <c r="A738" s="197"/>
      <c r="B738" s="133"/>
      <c r="C738" s="133"/>
      <c r="D738" s="197"/>
      <c r="E738" s="133"/>
      <c r="F738" s="198"/>
      <c r="G738" s="198"/>
      <c r="H738" s="200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  <c r="AB738" s="133"/>
      <c r="AC738" s="133"/>
      <c r="AD738" s="133"/>
      <c r="AE738" s="133"/>
      <c r="AF738" s="133"/>
    </row>
    <row r="739">
      <c r="A739" s="197"/>
      <c r="B739" s="133"/>
      <c r="C739" s="133"/>
      <c r="D739" s="197"/>
      <c r="E739" s="133"/>
      <c r="F739" s="198"/>
      <c r="G739" s="198"/>
      <c r="H739" s="200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  <c r="AA739" s="133"/>
      <c r="AB739" s="133"/>
      <c r="AC739" s="133"/>
      <c r="AD739" s="133"/>
      <c r="AE739" s="133"/>
      <c r="AF739" s="133"/>
    </row>
    <row r="740">
      <c r="A740" s="197"/>
      <c r="B740" s="133"/>
      <c r="C740" s="133"/>
      <c r="D740" s="197"/>
      <c r="E740" s="133"/>
      <c r="F740" s="198"/>
      <c r="G740" s="198"/>
      <c r="H740" s="200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  <c r="AA740" s="133"/>
      <c r="AB740" s="133"/>
      <c r="AC740" s="133"/>
      <c r="AD740" s="133"/>
      <c r="AE740" s="133"/>
      <c r="AF740" s="133"/>
    </row>
    <row r="741">
      <c r="A741" s="197"/>
      <c r="B741" s="133"/>
      <c r="C741" s="133"/>
      <c r="D741" s="197"/>
      <c r="E741" s="133"/>
      <c r="F741" s="198"/>
      <c r="G741" s="198"/>
      <c r="H741" s="200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  <c r="AA741" s="133"/>
      <c r="AB741" s="133"/>
      <c r="AC741" s="133"/>
      <c r="AD741" s="133"/>
      <c r="AE741" s="133"/>
      <c r="AF741" s="133"/>
    </row>
    <row r="742">
      <c r="A742" s="197"/>
      <c r="B742" s="133"/>
      <c r="C742" s="133"/>
      <c r="D742" s="197"/>
      <c r="E742" s="133"/>
      <c r="F742" s="198"/>
      <c r="G742" s="198"/>
      <c r="H742" s="200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  <c r="AA742" s="133"/>
      <c r="AB742" s="133"/>
      <c r="AC742" s="133"/>
      <c r="AD742" s="133"/>
      <c r="AE742" s="133"/>
      <c r="AF742" s="133"/>
    </row>
    <row r="743">
      <c r="A743" s="197"/>
      <c r="B743" s="133"/>
      <c r="C743" s="133"/>
      <c r="D743" s="197"/>
      <c r="E743" s="133"/>
      <c r="F743" s="198"/>
      <c r="G743" s="198"/>
      <c r="H743" s="200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  <c r="AA743" s="133"/>
      <c r="AB743" s="133"/>
      <c r="AC743" s="133"/>
      <c r="AD743" s="133"/>
      <c r="AE743" s="133"/>
      <c r="AF743" s="133"/>
    </row>
    <row r="744">
      <c r="A744" s="197"/>
      <c r="B744" s="133"/>
      <c r="C744" s="133"/>
      <c r="D744" s="197"/>
      <c r="E744" s="133"/>
      <c r="F744" s="198"/>
      <c r="G744" s="198"/>
      <c r="H744" s="200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  <c r="AA744" s="133"/>
      <c r="AB744" s="133"/>
      <c r="AC744" s="133"/>
      <c r="AD744" s="133"/>
      <c r="AE744" s="133"/>
      <c r="AF744" s="133"/>
    </row>
    <row r="745">
      <c r="A745" s="197"/>
      <c r="B745" s="133"/>
      <c r="C745" s="133"/>
      <c r="D745" s="197"/>
      <c r="E745" s="133"/>
      <c r="F745" s="198"/>
      <c r="G745" s="198"/>
      <c r="H745" s="200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  <c r="AA745" s="133"/>
      <c r="AB745" s="133"/>
      <c r="AC745" s="133"/>
      <c r="AD745" s="133"/>
      <c r="AE745" s="133"/>
      <c r="AF745" s="133"/>
    </row>
    <row r="746">
      <c r="A746" s="197"/>
      <c r="B746" s="133"/>
      <c r="C746" s="133"/>
      <c r="D746" s="197"/>
      <c r="E746" s="133"/>
      <c r="F746" s="198"/>
      <c r="G746" s="198"/>
      <c r="H746" s="200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  <c r="AA746" s="133"/>
      <c r="AB746" s="133"/>
      <c r="AC746" s="133"/>
      <c r="AD746" s="133"/>
      <c r="AE746" s="133"/>
      <c r="AF746" s="133"/>
    </row>
    <row r="747">
      <c r="A747" s="197"/>
      <c r="B747" s="133"/>
      <c r="C747" s="133"/>
      <c r="D747" s="197"/>
      <c r="E747" s="133"/>
      <c r="F747" s="198"/>
      <c r="G747" s="198"/>
      <c r="H747" s="200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  <c r="AA747" s="133"/>
      <c r="AB747" s="133"/>
      <c r="AC747" s="133"/>
      <c r="AD747" s="133"/>
      <c r="AE747" s="133"/>
      <c r="AF747" s="133"/>
    </row>
    <row r="748">
      <c r="A748" s="197"/>
      <c r="B748" s="133"/>
      <c r="C748" s="133"/>
      <c r="D748" s="197"/>
      <c r="E748" s="133"/>
      <c r="F748" s="198"/>
      <c r="G748" s="198"/>
      <c r="H748" s="200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  <c r="AA748" s="133"/>
      <c r="AB748" s="133"/>
      <c r="AC748" s="133"/>
      <c r="AD748" s="133"/>
      <c r="AE748" s="133"/>
      <c r="AF748" s="133"/>
    </row>
    <row r="749">
      <c r="A749" s="197"/>
      <c r="B749" s="133"/>
      <c r="C749" s="133"/>
      <c r="D749" s="197"/>
      <c r="E749" s="133"/>
      <c r="F749" s="198"/>
      <c r="G749" s="198"/>
      <c r="H749" s="200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  <c r="AA749" s="133"/>
      <c r="AB749" s="133"/>
      <c r="AC749" s="133"/>
      <c r="AD749" s="133"/>
      <c r="AE749" s="133"/>
      <c r="AF749" s="133"/>
    </row>
    <row r="750">
      <c r="A750" s="197"/>
      <c r="B750" s="133"/>
      <c r="C750" s="133"/>
      <c r="D750" s="197"/>
      <c r="E750" s="133"/>
      <c r="F750" s="198"/>
      <c r="G750" s="198"/>
      <c r="H750" s="200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  <c r="AA750" s="133"/>
      <c r="AB750" s="133"/>
      <c r="AC750" s="133"/>
      <c r="AD750" s="133"/>
      <c r="AE750" s="133"/>
      <c r="AF750" s="133"/>
    </row>
    <row r="751">
      <c r="A751" s="197"/>
      <c r="B751" s="133"/>
      <c r="C751" s="133"/>
      <c r="D751" s="197"/>
      <c r="E751" s="133"/>
      <c r="F751" s="198"/>
      <c r="G751" s="198"/>
      <c r="H751" s="200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  <c r="AA751" s="133"/>
      <c r="AB751" s="133"/>
      <c r="AC751" s="133"/>
      <c r="AD751" s="133"/>
      <c r="AE751" s="133"/>
      <c r="AF751" s="133"/>
    </row>
    <row r="752">
      <c r="A752" s="197"/>
      <c r="B752" s="133"/>
      <c r="C752" s="133"/>
      <c r="D752" s="197"/>
      <c r="E752" s="133"/>
      <c r="F752" s="198"/>
      <c r="G752" s="198"/>
      <c r="H752" s="200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  <c r="AA752" s="133"/>
      <c r="AB752" s="133"/>
      <c r="AC752" s="133"/>
      <c r="AD752" s="133"/>
      <c r="AE752" s="133"/>
      <c r="AF752" s="133"/>
    </row>
    <row r="753">
      <c r="A753" s="197"/>
      <c r="B753" s="133"/>
      <c r="C753" s="133"/>
      <c r="D753" s="197"/>
      <c r="E753" s="133"/>
      <c r="F753" s="198"/>
      <c r="G753" s="198"/>
      <c r="H753" s="200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  <c r="AA753" s="133"/>
      <c r="AB753" s="133"/>
      <c r="AC753" s="133"/>
      <c r="AD753" s="133"/>
      <c r="AE753" s="133"/>
      <c r="AF753" s="133"/>
    </row>
    <row r="754">
      <c r="A754" s="197"/>
      <c r="B754" s="133"/>
      <c r="C754" s="133"/>
      <c r="D754" s="197"/>
      <c r="E754" s="133"/>
      <c r="F754" s="198"/>
      <c r="G754" s="198"/>
      <c r="H754" s="200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  <c r="AA754" s="133"/>
      <c r="AB754" s="133"/>
      <c r="AC754" s="133"/>
      <c r="AD754" s="133"/>
      <c r="AE754" s="133"/>
      <c r="AF754" s="133"/>
    </row>
    <row r="755">
      <c r="A755" s="197"/>
      <c r="B755" s="133"/>
      <c r="C755" s="133"/>
      <c r="D755" s="197"/>
      <c r="E755" s="133"/>
      <c r="F755" s="198"/>
      <c r="G755" s="198"/>
      <c r="H755" s="200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  <c r="AA755" s="133"/>
      <c r="AB755" s="133"/>
      <c r="AC755" s="133"/>
      <c r="AD755" s="133"/>
      <c r="AE755" s="133"/>
      <c r="AF755" s="133"/>
    </row>
    <row r="756">
      <c r="A756" s="197"/>
      <c r="B756" s="133"/>
      <c r="C756" s="133"/>
      <c r="D756" s="197"/>
      <c r="E756" s="133"/>
      <c r="F756" s="198"/>
      <c r="G756" s="198"/>
      <c r="H756" s="200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  <c r="AA756" s="133"/>
      <c r="AB756" s="133"/>
      <c r="AC756" s="133"/>
      <c r="AD756" s="133"/>
      <c r="AE756" s="133"/>
      <c r="AF756" s="133"/>
    </row>
    <row r="757">
      <c r="A757" s="197"/>
      <c r="B757" s="133"/>
      <c r="C757" s="133"/>
      <c r="D757" s="197"/>
      <c r="E757" s="133"/>
      <c r="F757" s="198"/>
      <c r="G757" s="198"/>
      <c r="H757" s="200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  <c r="AA757" s="133"/>
      <c r="AB757" s="133"/>
      <c r="AC757" s="133"/>
      <c r="AD757" s="133"/>
      <c r="AE757" s="133"/>
      <c r="AF757" s="133"/>
    </row>
    <row r="758">
      <c r="A758" s="197"/>
      <c r="B758" s="133"/>
      <c r="C758" s="133"/>
      <c r="D758" s="197"/>
      <c r="E758" s="133"/>
      <c r="F758" s="198"/>
      <c r="G758" s="198"/>
      <c r="H758" s="200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/>
      <c r="AB758" s="133"/>
      <c r="AC758" s="133"/>
      <c r="AD758" s="133"/>
      <c r="AE758" s="133"/>
      <c r="AF758" s="133"/>
    </row>
    <row r="759">
      <c r="A759" s="197"/>
      <c r="B759" s="133"/>
      <c r="C759" s="133"/>
      <c r="D759" s="197"/>
      <c r="E759" s="133"/>
      <c r="F759" s="198"/>
      <c r="G759" s="198"/>
      <c r="H759" s="200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  <c r="AA759" s="133"/>
      <c r="AB759" s="133"/>
      <c r="AC759" s="133"/>
      <c r="AD759" s="133"/>
      <c r="AE759" s="133"/>
      <c r="AF759" s="133"/>
    </row>
    <row r="760">
      <c r="A760" s="197"/>
      <c r="B760" s="133"/>
      <c r="C760" s="133"/>
      <c r="D760" s="197"/>
      <c r="E760" s="133"/>
      <c r="F760" s="198"/>
      <c r="G760" s="198"/>
      <c r="H760" s="200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  <c r="AA760" s="133"/>
      <c r="AB760" s="133"/>
      <c r="AC760" s="133"/>
      <c r="AD760" s="133"/>
      <c r="AE760" s="133"/>
      <c r="AF760" s="133"/>
    </row>
    <row r="761">
      <c r="A761" s="197"/>
      <c r="B761" s="133"/>
      <c r="C761" s="133"/>
      <c r="D761" s="197"/>
      <c r="E761" s="133"/>
      <c r="F761" s="198"/>
      <c r="G761" s="198"/>
      <c r="H761" s="200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  <c r="AB761" s="133"/>
      <c r="AC761" s="133"/>
      <c r="AD761" s="133"/>
      <c r="AE761" s="133"/>
      <c r="AF761" s="133"/>
    </row>
    <row r="762">
      <c r="A762" s="197"/>
      <c r="B762" s="133"/>
      <c r="C762" s="133"/>
      <c r="D762" s="197"/>
      <c r="E762" s="133"/>
      <c r="F762" s="198"/>
      <c r="G762" s="198"/>
      <c r="H762" s="200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  <c r="AA762" s="133"/>
      <c r="AB762" s="133"/>
      <c r="AC762" s="133"/>
      <c r="AD762" s="133"/>
      <c r="AE762" s="133"/>
      <c r="AF762" s="133"/>
    </row>
    <row r="763">
      <c r="A763" s="197"/>
      <c r="B763" s="133"/>
      <c r="C763" s="133"/>
      <c r="D763" s="197"/>
      <c r="E763" s="133"/>
      <c r="F763" s="198"/>
      <c r="G763" s="198"/>
      <c r="H763" s="200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  <c r="AA763" s="133"/>
      <c r="AB763" s="133"/>
      <c r="AC763" s="133"/>
      <c r="AD763" s="133"/>
      <c r="AE763" s="133"/>
      <c r="AF763" s="133"/>
    </row>
    <row r="764">
      <c r="A764" s="197"/>
      <c r="B764" s="133"/>
      <c r="C764" s="133"/>
      <c r="D764" s="197"/>
      <c r="E764" s="133"/>
      <c r="F764" s="198"/>
      <c r="G764" s="198"/>
      <c r="H764" s="200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  <c r="AA764" s="133"/>
      <c r="AB764" s="133"/>
      <c r="AC764" s="133"/>
      <c r="AD764" s="133"/>
      <c r="AE764" s="133"/>
      <c r="AF764" s="133"/>
    </row>
    <row r="765">
      <c r="A765" s="197"/>
      <c r="B765" s="133"/>
      <c r="C765" s="133"/>
      <c r="D765" s="197"/>
      <c r="E765" s="133"/>
      <c r="F765" s="198"/>
      <c r="G765" s="198"/>
      <c r="H765" s="200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/>
      <c r="AB765" s="133"/>
      <c r="AC765" s="133"/>
      <c r="AD765" s="133"/>
      <c r="AE765" s="133"/>
      <c r="AF765" s="133"/>
    </row>
    <row r="766">
      <c r="A766" s="197"/>
      <c r="B766" s="133"/>
      <c r="C766" s="133"/>
      <c r="D766" s="197"/>
      <c r="E766" s="133"/>
      <c r="F766" s="198"/>
      <c r="G766" s="198"/>
      <c r="H766" s="200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  <c r="AA766" s="133"/>
      <c r="AB766" s="133"/>
      <c r="AC766" s="133"/>
      <c r="AD766" s="133"/>
      <c r="AE766" s="133"/>
      <c r="AF766" s="133"/>
    </row>
    <row r="767">
      <c r="A767" s="197"/>
      <c r="B767" s="133"/>
      <c r="C767" s="133"/>
      <c r="D767" s="197"/>
      <c r="E767" s="133"/>
      <c r="F767" s="198"/>
      <c r="G767" s="198"/>
      <c r="H767" s="200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  <c r="AA767" s="133"/>
      <c r="AB767" s="133"/>
      <c r="AC767" s="133"/>
      <c r="AD767" s="133"/>
      <c r="AE767" s="133"/>
      <c r="AF767" s="133"/>
    </row>
    <row r="768">
      <c r="A768" s="197"/>
      <c r="B768" s="133"/>
      <c r="C768" s="133"/>
      <c r="D768" s="197"/>
      <c r="E768" s="133"/>
      <c r="F768" s="198"/>
      <c r="G768" s="198"/>
      <c r="H768" s="200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  <c r="AA768" s="133"/>
      <c r="AB768" s="133"/>
      <c r="AC768" s="133"/>
      <c r="AD768" s="133"/>
      <c r="AE768" s="133"/>
      <c r="AF768" s="133"/>
    </row>
    <row r="769">
      <c r="A769" s="197"/>
      <c r="B769" s="133"/>
      <c r="C769" s="133"/>
      <c r="D769" s="197"/>
      <c r="E769" s="133"/>
      <c r="F769" s="198"/>
      <c r="G769" s="198"/>
      <c r="H769" s="200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  <c r="AA769" s="133"/>
      <c r="AB769" s="133"/>
      <c r="AC769" s="133"/>
      <c r="AD769" s="133"/>
      <c r="AE769" s="133"/>
      <c r="AF769" s="133"/>
    </row>
    <row r="770">
      <c r="A770" s="197"/>
      <c r="B770" s="133"/>
      <c r="C770" s="133"/>
      <c r="D770" s="197"/>
      <c r="E770" s="133"/>
      <c r="F770" s="198"/>
      <c r="G770" s="198"/>
      <c r="H770" s="200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  <c r="AA770" s="133"/>
      <c r="AB770" s="133"/>
      <c r="AC770" s="133"/>
      <c r="AD770" s="133"/>
      <c r="AE770" s="133"/>
      <c r="AF770" s="133"/>
    </row>
    <row r="771">
      <c r="A771" s="197"/>
      <c r="B771" s="133"/>
      <c r="C771" s="133"/>
      <c r="D771" s="197"/>
      <c r="E771" s="133"/>
      <c r="F771" s="198"/>
      <c r="G771" s="198"/>
      <c r="H771" s="200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  <c r="AA771" s="133"/>
      <c r="AB771" s="133"/>
      <c r="AC771" s="133"/>
      <c r="AD771" s="133"/>
      <c r="AE771" s="133"/>
      <c r="AF771" s="133"/>
    </row>
    <row r="772">
      <c r="A772" s="197"/>
      <c r="B772" s="133"/>
      <c r="C772" s="133"/>
      <c r="D772" s="197"/>
      <c r="E772" s="133"/>
      <c r="F772" s="198"/>
      <c r="G772" s="198"/>
      <c r="H772" s="200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  <c r="AB772" s="133"/>
      <c r="AC772" s="133"/>
      <c r="AD772" s="133"/>
      <c r="AE772" s="133"/>
      <c r="AF772" s="133"/>
    </row>
    <row r="773">
      <c r="A773" s="197"/>
      <c r="B773" s="133"/>
      <c r="C773" s="133"/>
      <c r="D773" s="197"/>
      <c r="E773" s="133"/>
      <c r="F773" s="198"/>
      <c r="G773" s="198"/>
      <c r="H773" s="200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  <c r="AA773" s="133"/>
      <c r="AB773" s="133"/>
      <c r="AC773" s="133"/>
      <c r="AD773" s="133"/>
      <c r="AE773" s="133"/>
      <c r="AF773" s="133"/>
    </row>
    <row r="774">
      <c r="A774" s="197"/>
      <c r="B774" s="133"/>
      <c r="C774" s="133"/>
      <c r="D774" s="197"/>
      <c r="E774" s="133"/>
      <c r="F774" s="198"/>
      <c r="G774" s="198"/>
      <c r="H774" s="200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  <c r="AA774" s="133"/>
      <c r="AB774" s="133"/>
      <c r="AC774" s="133"/>
      <c r="AD774" s="133"/>
      <c r="AE774" s="133"/>
      <c r="AF774" s="133"/>
    </row>
    <row r="775">
      <c r="A775" s="197"/>
      <c r="B775" s="133"/>
      <c r="C775" s="133"/>
      <c r="D775" s="197"/>
      <c r="E775" s="133"/>
      <c r="F775" s="198"/>
      <c r="G775" s="198"/>
      <c r="H775" s="200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  <c r="AA775" s="133"/>
      <c r="AB775" s="133"/>
      <c r="AC775" s="133"/>
      <c r="AD775" s="133"/>
      <c r="AE775" s="133"/>
      <c r="AF775" s="133"/>
    </row>
    <row r="776">
      <c r="A776" s="197"/>
      <c r="B776" s="133"/>
      <c r="C776" s="133"/>
      <c r="D776" s="197"/>
      <c r="E776" s="133"/>
      <c r="F776" s="198"/>
      <c r="G776" s="198"/>
      <c r="H776" s="200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  <c r="AA776" s="133"/>
      <c r="AB776" s="133"/>
      <c r="AC776" s="133"/>
      <c r="AD776" s="133"/>
      <c r="AE776" s="133"/>
      <c r="AF776" s="133"/>
    </row>
    <row r="777">
      <c r="A777" s="197"/>
      <c r="B777" s="133"/>
      <c r="C777" s="133"/>
      <c r="D777" s="197"/>
      <c r="E777" s="133"/>
      <c r="F777" s="198"/>
      <c r="G777" s="198"/>
      <c r="H777" s="200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  <c r="AA777" s="133"/>
      <c r="AB777" s="133"/>
      <c r="AC777" s="133"/>
      <c r="AD777" s="133"/>
      <c r="AE777" s="133"/>
      <c r="AF777" s="133"/>
    </row>
    <row r="778">
      <c r="A778" s="197"/>
      <c r="B778" s="133"/>
      <c r="C778" s="133"/>
      <c r="D778" s="197"/>
      <c r="E778" s="133"/>
      <c r="F778" s="198"/>
      <c r="G778" s="198"/>
      <c r="H778" s="200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  <c r="AA778" s="133"/>
      <c r="AB778" s="133"/>
      <c r="AC778" s="133"/>
      <c r="AD778" s="133"/>
      <c r="AE778" s="133"/>
      <c r="AF778" s="133"/>
    </row>
    <row r="779">
      <c r="A779" s="197"/>
      <c r="B779" s="133"/>
      <c r="C779" s="133"/>
      <c r="D779" s="197"/>
      <c r="E779" s="133"/>
      <c r="F779" s="198"/>
      <c r="G779" s="198"/>
      <c r="H779" s="200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  <c r="AA779" s="133"/>
      <c r="AB779" s="133"/>
      <c r="AC779" s="133"/>
      <c r="AD779" s="133"/>
      <c r="AE779" s="133"/>
      <c r="AF779" s="133"/>
    </row>
    <row r="780">
      <c r="A780" s="197"/>
      <c r="B780" s="133"/>
      <c r="C780" s="133"/>
      <c r="D780" s="197"/>
      <c r="E780" s="133"/>
      <c r="F780" s="198"/>
      <c r="G780" s="198"/>
      <c r="H780" s="200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  <c r="AA780" s="133"/>
      <c r="AB780" s="133"/>
      <c r="AC780" s="133"/>
      <c r="AD780" s="133"/>
      <c r="AE780" s="133"/>
      <c r="AF780" s="133"/>
    </row>
    <row r="781">
      <c r="A781" s="197"/>
      <c r="B781" s="133"/>
      <c r="C781" s="133"/>
      <c r="D781" s="197"/>
      <c r="E781" s="133"/>
      <c r="F781" s="198"/>
      <c r="G781" s="198"/>
      <c r="H781" s="200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  <c r="AB781" s="133"/>
      <c r="AC781" s="133"/>
      <c r="AD781" s="133"/>
      <c r="AE781" s="133"/>
      <c r="AF781" s="133"/>
    </row>
    <row r="782">
      <c r="A782" s="197"/>
      <c r="B782" s="133"/>
      <c r="C782" s="133"/>
      <c r="D782" s="197"/>
      <c r="E782" s="133"/>
      <c r="F782" s="198"/>
      <c r="G782" s="198"/>
      <c r="H782" s="200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  <c r="AA782" s="133"/>
      <c r="AB782" s="133"/>
      <c r="AC782" s="133"/>
      <c r="AD782" s="133"/>
      <c r="AE782" s="133"/>
      <c r="AF782" s="133"/>
    </row>
    <row r="783">
      <c r="A783" s="197"/>
      <c r="B783" s="133"/>
      <c r="C783" s="133"/>
      <c r="D783" s="197"/>
      <c r="E783" s="133"/>
      <c r="F783" s="198"/>
      <c r="G783" s="198"/>
      <c r="H783" s="200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  <c r="AA783" s="133"/>
      <c r="AB783" s="133"/>
      <c r="AC783" s="133"/>
      <c r="AD783" s="133"/>
      <c r="AE783" s="133"/>
      <c r="AF783" s="133"/>
    </row>
    <row r="784">
      <c r="A784" s="197"/>
      <c r="B784" s="133"/>
      <c r="C784" s="133"/>
      <c r="D784" s="197"/>
      <c r="E784" s="133"/>
      <c r="F784" s="198"/>
      <c r="G784" s="198"/>
      <c r="H784" s="200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  <c r="AB784" s="133"/>
      <c r="AC784" s="133"/>
      <c r="AD784" s="133"/>
      <c r="AE784" s="133"/>
      <c r="AF784" s="133"/>
    </row>
    <row r="785">
      <c r="A785" s="197"/>
      <c r="B785" s="133"/>
      <c r="C785" s="133"/>
      <c r="D785" s="197"/>
      <c r="E785" s="133"/>
      <c r="F785" s="198"/>
      <c r="G785" s="198"/>
      <c r="H785" s="200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  <c r="AB785" s="133"/>
      <c r="AC785" s="133"/>
      <c r="AD785" s="133"/>
      <c r="AE785" s="133"/>
      <c r="AF785" s="133"/>
    </row>
    <row r="786">
      <c r="A786" s="197"/>
      <c r="B786" s="133"/>
      <c r="C786" s="133"/>
      <c r="D786" s="197"/>
      <c r="E786" s="133"/>
      <c r="F786" s="198"/>
      <c r="G786" s="198"/>
      <c r="H786" s="200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  <c r="AB786" s="133"/>
      <c r="AC786" s="133"/>
      <c r="AD786" s="133"/>
      <c r="AE786" s="133"/>
      <c r="AF786" s="133"/>
    </row>
    <row r="787">
      <c r="A787" s="197"/>
      <c r="B787" s="133"/>
      <c r="C787" s="133"/>
      <c r="D787" s="197"/>
      <c r="E787" s="133"/>
      <c r="F787" s="198"/>
      <c r="G787" s="198"/>
      <c r="H787" s="200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  <c r="AB787" s="133"/>
      <c r="AC787" s="133"/>
      <c r="AD787" s="133"/>
      <c r="AE787" s="133"/>
      <c r="AF787" s="133"/>
    </row>
    <row r="788">
      <c r="A788" s="197"/>
      <c r="B788" s="133"/>
      <c r="C788" s="133"/>
      <c r="D788" s="197"/>
      <c r="E788" s="133"/>
      <c r="F788" s="198"/>
      <c r="G788" s="198"/>
      <c r="H788" s="200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  <c r="AB788" s="133"/>
      <c r="AC788" s="133"/>
      <c r="AD788" s="133"/>
      <c r="AE788" s="133"/>
      <c r="AF788" s="133"/>
    </row>
    <row r="789">
      <c r="A789" s="197"/>
      <c r="B789" s="133"/>
      <c r="C789" s="133"/>
      <c r="D789" s="197"/>
      <c r="E789" s="133"/>
      <c r="F789" s="198"/>
      <c r="G789" s="198"/>
      <c r="H789" s="200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  <c r="AB789" s="133"/>
      <c r="AC789" s="133"/>
      <c r="AD789" s="133"/>
      <c r="AE789" s="133"/>
      <c r="AF789" s="133"/>
    </row>
    <row r="790">
      <c r="A790" s="197"/>
      <c r="B790" s="133"/>
      <c r="C790" s="133"/>
      <c r="D790" s="197"/>
      <c r="E790" s="133"/>
      <c r="F790" s="198"/>
      <c r="G790" s="198"/>
      <c r="H790" s="200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  <c r="AB790" s="133"/>
      <c r="AC790" s="133"/>
      <c r="AD790" s="133"/>
      <c r="AE790" s="133"/>
      <c r="AF790" s="133"/>
    </row>
    <row r="791">
      <c r="A791" s="197"/>
      <c r="B791" s="133"/>
      <c r="C791" s="133"/>
      <c r="D791" s="197"/>
      <c r="E791" s="133"/>
      <c r="F791" s="198"/>
      <c r="G791" s="198"/>
      <c r="H791" s="200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  <c r="AB791" s="133"/>
      <c r="AC791" s="133"/>
      <c r="AD791" s="133"/>
      <c r="AE791" s="133"/>
      <c r="AF791" s="133"/>
    </row>
    <row r="792">
      <c r="A792" s="197"/>
      <c r="B792" s="133"/>
      <c r="C792" s="133"/>
      <c r="D792" s="197"/>
      <c r="E792" s="133"/>
      <c r="F792" s="198"/>
      <c r="G792" s="198"/>
      <c r="H792" s="200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  <c r="AB792" s="133"/>
      <c r="AC792" s="133"/>
      <c r="AD792" s="133"/>
      <c r="AE792" s="133"/>
      <c r="AF792" s="133"/>
    </row>
    <row r="793">
      <c r="A793" s="197"/>
      <c r="B793" s="133"/>
      <c r="C793" s="133"/>
      <c r="D793" s="197"/>
      <c r="E793" s="133"/>
      <c r="F793" s="198"/>
      <c r="G793" s="198"/>
      <c r="H793" s="200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  <c r="AB793" s="133"/>
      <c r="AC793" s="133"/>
      <c r="AD793" s="133"/>
      <c r="AE793" s="133"/>
      <c r="AF793" s="133"/>
    </row>
    <row r="794">
      <c r="A794" s="197"/>
      <c r="B794" s="133"/>
      <c r="C794" s="133"/>
      <c r="D794" s="197"/>
      <c r="E794" s="133"/>
      <c r="F794" s="198"/>
      <c r="G794" s="198"/>
      <c r="H794" s="200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  <c r="AB794" s="133"/>
      <c r="AC794" s="133"/>
      <c r="AD794" s="133"/>
      <c r="AE794" s="133"/>
      <c r="AF794" s="133"/>
    </row>
    <row r="795">
      <c r="A795" s="197"/>
      <c r="B795" s="133"/>
      <c r="C795" s="133"/>
      <c r="D795" s="197"/>
      <c r="E795" s="133"/>
      <c r="F795" s="198"/>
      <c r="G795" s="198"/>
      <c r="H795" s="200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  <c r="AB795" s="133"/>
      <c r="AC795" s="133"/>
      <c r="AD795" s="133"/>
      <c r="AE795" s="133"/>
      <c r="AF795" s="133"/>
    </row>
    <row r="796">
      <c r="A796" s="197"/>
      <c r="B796" s="133"/>
      <c r="C796" s="133"/>
      <c r="D796" s="197"/>
      <c r="E796" s="133"/>
      <c r="F796" s="198"/>
      <c r="G796" s="198"/>
      <c r="H796" s="200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  <c r="AB796" s="133"/>
      <c r="AC796" s="133"/>
      <c r="AD796" s="133"/>
      <c r="AE796" s="133"/>
      <c r="AF796" s="133"/>
    </row>
    <row r="797">
      <c r="A797" s="197"/>
      <c r="B797" s="133"/>
      <c r="C797" s="133"/>
      <c r="D797" s="197"/>
      <c r="E797" s="133"/>
      <c r="F797" s="198"/>
      <c r="G797" s="198"/>
      <c r="H797" s="200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  <c r="AA797" s="133"/>
      <c r="AB797" s="133"/>
      <c r="AC797" s="133"/>
      <c r="AD797" s="133"/>
      <c r="AE797" s="133"/>
      <c r="AF797" s="133"/>
    </row>
    <row r="798">
      <c r="A798" s="197"/>
      <c r="B798" s="133"/>
      <c r="C798" s="133"/>
      <c r="D798" s="197"/>
      <c r="E798" s="133"/>
      <c r="F798" s="198"/>
      <c r="G798" s="198"/>
      <c r="H798" s="200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  <c r="AA798" s="133"/>
      <c r="AB798" s="133"/>
      <c r="AC798" s="133"/>
      <c r="AD798" s="133"/>
      <c r="AE798" s="133"/>
      <c r="AF798" s="133"/>
    </row>
    <row r="799">
      <c r="A799" s="197"/>
      <c r="B799" s="133"/>
      <c r="C799" s="133"/>
      <c r="D799" s="197"/>
      <c r="E799" s="133"/>
      <c r="F799" s="198"/>
      <c r="G799" s="198"/>
      <c r="H799" s="200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  <c r="AB799" s="133"/>
      <c r="AC799" s="133"/>
      <c r="AD799" s="133"/>
      <c r="AE799" s="133"/>
      <c r="AF799" s="133"/>
    </row>
    <row r="800">
      <c r="A800" s="197"/>
      <c r="B800" s="133"/>
      <c r="C800" s="133"/>
      <c r="D800" s="197"/>
      <c r="E800" s="133"/>
      <c r="F800" s="198"/>
      <c r="G800" s="198"/>
      <c r="H800" s="200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  <c r="AB800" s="133"/>
      <c r="AC800" s="133"/>
      <c r="AD800" s="133"/>
      <c r="AE800" s="133"/>
      <c r="AF800" s="133"/>
    </row>
    <row r="801">
      <c r="A801" s="197"/>
      <c r="B801" s="133"/>
      <c r="C801" s="133"/>
      <c r="D801" s="197"/>
      <c r="E801" s="133"/>
      <c r="F801" s="198"/>
      <c r="G801" s="198"/>
      <c r="H801" s="200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  <c r="AB801" s="133"/>
      <c r="AC801" s="133"/>
      <c r="AD801" s="133"/>
      <c r="AE801" s="133"/>
      <c r="AF801" s="133"/>
    </row>
    <row r="802">
      <c r="A802" s="197"/>
      <c r="B802" s="133"/>
      <c r="C802" s="133"/>
      <c r="D802" s="197"/>
      <c r="E802" s="133"/>
      <c r="F802" s="198"/>
      <c r="G802" s="198"/>
      <c r="H802" s="200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  <c r="AB802" s="133"/>
      <c r="AC802" s="133"/>
      <c r="AD802" s="133"/>
      <c r="AE802" s="133"/>
      <c r="AF802" s="133"/>
    </row>
    <row r="803">
      <c r="A803" s="197"/>
      <c r="B803" s="133"/>
      <c r="C803" s="133"/>
      <c r="D803" s="197"/>
      <c r="E803" s="133"/>
      <c r="F803" s="198"/>
      <c r="G803" s="198"/>
      <c r="H803" s="200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  <c r="AB803" s="133"/>
      <c r="AC803" s="133"/>
      <c r="AD803" s="133"/>
      <c r="AE803" s="133"/>
      <c r="AF803" s="133"/>
    </row>
    <row r="804">
      <c r="A804" s="197"/>
      <c r="B804" s="133"/>
      <c r="C804" s="133"/>
      <c r="D804" s="197"/>
      <c r="E804" s="133"/>
      <c r="F804" s="198"/>
      <c r="G804" s="198"/>
      <c r="H804" s="200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  <c r="AB804" s="133"/>
      <c r="AC804" s="133"/>
      <c r="AD804" s="133"/>
      <c r="AE804" s="133"/>
      <c r="AF804" s="133"/>
    </row>
    <row r="805">
      <c r="A805" s="197"/>
      <c r="B805" s="133"/>
      <c r="C805" s="133"/>
      <c r="D805" s="197"/>
      <c r="E805" s="133"/>
      <c r="F805" s="198"/>
      <c r="G805" s="198"/>
      <c r="H805" s="200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  <c r="AA805" s="133"/>
      <c r="AB805" s="133"/>
      <c r="AC805" s="133"/>
      <c r="AD805" s="133"/>
      <c r="AE805" s="133"/>
      <c r="AF805" s="133"/>
    </row>
    <row r="806">
      <c r="A806" s="197"/>
      <c r="B806" s="133"/>
      <c r="C806" s="133"/>
      <c r="D806" s="197"/>
      <c r="E806" s="133"/>
      <c r="F806" s="198"/>
      <c r="G806" s="198"/>
      <c r="H806" s="200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  <c r="AA806" s="133"/>
      <c r="AB806" s="133"/>
      <c r="AC806" s="133"/>
      <c r="AD806" s="133"/>
      <c r="AE806" s="133"/>
      <c r="AF806" s="133"/>
    </row>
    <row r="807">
      <c r="A807" s="197"/>
      <c r="B807" s="133"/>
      <c r="C807" s="133"/>
      <c r="D807" s="197"/>
      <c r="E807" s="133"/>
      <c r="F807" s="198"/>
      <c r="G807" s="198"/>
      <c r="H807" s="200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  <c r="AB807" s="133"/>
      <c r="AC807" s="133"/>
      <c r="AD807" s="133"/>
      <c r="AE807" s="133"/>
      <c r="AF807" s="133"/>
    </row>
    <row r="808">
      <c r="A808" s="197"/>
      <c r="B808" s="133"/>
      <c r="C808" s="133"/>
      <c r="D808" s="197"/>
      <c r="E808" s="133"/>
      <c r="F808" s="198"/>
      <c r="G808" s="198"/>
      <c r="H808" s="200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  <c r="AB808" s="133"/>
      <c r="AC808" s="133"/>
      <c r="AD808" s="133"/>
      <c r="AE808" s="133"/>
      <c r="AF808" s="133"/>
    </row>
    <row r="809">
      <c r="A809" s="197"/>
      <c r="B809" s="133"/>
      <c r="C809" s="133"/>
      <c r="D809" s="197"/>
      <c r="E809" s="133"/>
      <c r="F809" s="198"/>
      <c r="G809" s="198"/>
      <c r="H809" s="200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  <c r="AB809" s="133"/>
      <c r="AC809" s="133"/>
      <c r="AD809" s="133"/>
      <c r="AE809" s="133"/>
      <c r="AF809" s="133"/>
    </row>
    <row r="810">
      <c r="A810" s="197"/>
      <c r="B810" s="133"/>
      <c r="C810" s="133"/>
      <c r="D810" s="197"/>
      <c r="E810" s="133"/>
      <c r="F810" s="198"/>
      <c r="G810" s="198"/>
      <c r="H810" s="200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  <c r="AB810" s="133"/>
      <c r="AC810" s="133"/>
      <c r="AD810" s="133"/>
      <c r="AE810" s="133"/>
      <c r="AF810" s="133"/>
    </row>
    <row r="811">
      <c r="A811" s="197"/>
      <c r="B811" s="133"/>
      <c r="C811" s="133"/>
      <c r="D811" s="197"/>
      <c r="E811" s="133"/>
      <c r="F811" s="198"/>
      <c r="G811" s="198"/>
      <c r="H811" s="200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  <c r="AB811" s="133"/>
      <c r="AC811" s="133"/>
      <c r="AD811" s="133"/>
      <c r="AE811" s="133"/>
      <c r="AF811" s="133"/>
    </row>
    <row r="812">
      <c r="A812" s="197"/>
      <c r="B812" s="133"/>
      <c r="C812" s="133"/>
      <c r="D812" s="197"/>
      <c r="E812" s="133"/>
      <c r="F812" s="198"/>
      <c r="G812" s="198"/>
      <c r="H812" s="200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  <c r="AB812" s="133"/>
      <c r="AC812" s="133"/>
      <c r="AD812" s="133"/>
      <c r="AE812" s="133"/>
      <c r="AF812" s="133"/>
    </row>
    <row r="813">
      <c r="A813" s="197"/>
      <c r="B813" s="133"/>
      <c r="C813" s="133"/>
      <c r="D813" s="197"/>
      <c r="E813" s="133"/>
      <c r="F813" s="198"/>
      <c r="G813" s="198"/>
      <c r="H813" s="200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  <c r="AB813" s="133"/>
      <c r="AC813" s="133"/>
      <c r="AD813" s="133"/>
      <c r="AE813" s="133"/>
      <c r="AF813" s="133"/>
    </row>
    <row r="814">
      <c r="A814" s="197"/>
      <c r="B814" s="133"/>
      <c r="C814" s="133"/>
      <c r="D814" s="197"/>
      <c r="E814" s="133"/>
      <c r="F814" s="198"/>
      <c r="G814" s="198"/>
      <c r="H814" s="200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  <c r="AB814" s="133"/>
      <c r="AC814" s="133"/>
      <c r="AD814" s="133"/>
      <c r="AE814" s="133"/>
      <c r="AF814" s="133"/>
    </row>
    <row r="815">
      <c r="A815" s="197"/>
      <c r="B815" s="133"/>
      <c r="C815" s="133"/>
      <c r="D815" s="197"/>
      <c r="E815" s="133"/>
      <c r="F815" s="198"/>
      <c r="G815" s="198"/>
      <c r="H815" s="200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  <c r="AB815" s="133"/>
      <c r="AC815" s="133"/>
      <c r="AD815" s="133"/>
      <c r="AE815" s="133"/>
      <c r="AF815" s="133"/>
    </row>
    <row r="816">
      <c r="A816" s="197"/>
      <c r="B816" s="133"/>
      <c r="C816" s="133"/>
      <c r="D816" s="197"/>
      <c r="E816" s="133"/>
      <c r="F816" s="198"/>
      <c r="G816" s="198"/>
      <c r="H816" s="200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  <c r="AB816" s="133"/>
      <c r="AC816" s="133"/>
      <c r="AD816" s="133"/>
      <c r="AE816" s="133"/>
      <c r="AF816" s="133"/>
    </row>
    <row r="817">
      <c r="A817" s="197"/>
      <c r="B817" s="133"/>
      <c r="C817" s="133"/>
      <c r="D817" s="197"/>
      <c r="E817" s="133"/>
      <c r="F817" s="198"/>
      <c r="G817" s="198"/>
      <c r="H817" s="200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  <c r="AB817" s="133"/>
      <c r="AC817" s="133"/>
      <c r="AD817" s="133"/>
      <c r="AE817" s="133"/>
      <c r="AF817" s="133"/>
    </row>
    <row r="818">
      <c r="A818" s="197"/>
      <c r="B818" s="133"/>
      <c r="C818" s="133"/>
      <c r="D818" s="197"/>
      <c r="E818" s="133"/>
      <c r="F818" s="198"/>
      <c r="G818" s="198"/>
      <c r="H818" s="200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  <c r="AB818" s="133"/>
      <c r="AC818" s="133"/>
      <c r="AD818" s="133"/>
      <c r="AE818" s="133"/>
      <c r="AF818" s="133"/>
    </row>
    <row r="819">
      <c r="A819" s="197"/>
      <c r="B819" s="133"/>
      <c r="C819" s="133"/>
      <c r="D819" s="197"/>
      <c r="E819" s="133"/>
      <c r="F819" s="198"/>
      <c r="G819" s="198"/>
      <c r="H819" s="200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  <c r="AB819" s="133"/>
      <c r="AC819" s="133"/>
      <c r="AD819" s="133"/>
      <c r="AE819" s="133"/>
      <c r="AF819" s="133"/>
    </row>
    <row r="820">
      <c r="A820" s="197"/>
      <c r="B820" s="133"/>
      <c r="C820" s="133"/>
      <c r="D820" s="197"/>
      <c r="E820" s="133"/>
      <c r="F820" s="198"/>
      <c r="G820" s="198"/>
      <c r="H820" s="200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  <c r="AB820" s="133"/>
      <c r="AC820" s="133"/>
      <c r="AD820" s="133"/>
      <c r="AE820" s="133"/>
      <c r="AF820" s="133"/>
    </row>
    <row r="821">
      <c r="A821" s="197"/>
      <c r="B821" s="133"/>
      <c r="C821" s="133"/>
      <c r="D821" s="197"/>
      <c r="E821" s="133"/>
      <c r="F821" s="198"/>
      <c r="G821" s="198"/>
      <c r="H821" s="200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  <c r="AB821" s="133"/>
      <c r="AC821" s="133"/>
      <c r="AD821" s="133"/>
      <c r="AE821" s="133"/>
      <c r="AF821" s="133"/>
    </row>
    <row r="822">
      <c r="A822" s="197"/>
      <c r="B822" s="133"/>
      <c r="C822" s="133"/>
      <c r="D822" s="197"/>
      <c r="E822" s="133"/>
      <c r="F822" s="198"/>
      <c r="G822" s="198"/>
      <c r="H822" s="200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  <c r="AB822" s="133"/>
      <c r="AC822" s="133"/>
      <c r="AD822" s="133"/>
      <c r="AE822" s="133"/>
      <c r="AF822" s="133"/>
    </row>
    <row r="823">
      <c r="A823" s="197"/>
      <c r="B823" s="133"/>
      <c r="C823" s="133"/>
      <c r="D823" s="197"/>
      <c r="E823" s="133"/>
      <c r="F823" s="198"/>
      <c r="G823" s="198"/>
      <c r="H823" s="200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  <c r="AB823" s="133"/>
      <c r="AC823" s="133"/>
      <c r="AD823" s="133"/>
      <c r="AE823" s="133"/>
      <c r="AF823" s="133"/>
    </row>
    <row r="824">
      <c r="A824" s="197"/>
      <c r="B824" s="133"/>
      <c r="C824" s="133"/>
      <c r="D824" s="197"/>
      <c r="E824" s="133"/>
      <c r="F824" s="198"/>
      <c r="G824" s="198"/>
      <c r="H824" s="200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  <c r="AA824" s="133"/>
      <c r="AB824" s="133"/>
      <c r="AC824" s="133"/>
      <c r="AD824" s="133"/>
      <c r="AE824" s="133"/>
      <c r="AF824" s="133"/>
    </row>
    <row r="825">
      <c r="A825" s="197"/>
      <c r="B825" s="133"/>
      <c r="C825" s="133"/>
      <c r="D825" s="197"/>
      <c r="E825" s="133"/>
      <c r="F825" s="198"/>
      <c r="G825" s="198"/>
      <c r="H825" s="200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  <c r="AA825" s="133"/>
      <c r="AB825" s="133"/>
      <c r="AC825" s="133"/>
      <c r="AD825" s="133"/>
      <c r="AE825" s="133"/>
      <c r="AF825" s="133"/>
    </row>
    <row r="826">
      <c r="A826" s="197"/>
      <c r="B826" s="133"/>
      <c r="C826" s="133"/>
      <c r="D826" s="197"/>
      <c r="E826" s="133"/>
      <c r="F826" s="198"/>
      <c r="G826" s="198"/>
      <c r="H826" s="200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  <c r="AA826" s="133"/>
      <c r="AB826" s="133"/>
      <c r="AC826" s="133"/>
      <c r="AD826" s="133"/>
      <c r="AE826" s="133"/>
      <c r="AF826" s="133"/>
    </row>
    <row r="827">
      <c r="A827" s="197"/>
      <c r="B827" s="133"/>
      <c r="C827" s="133"/>
      <c r="D827" s="197"/>
      <c r="E827" s="133"/>
      <c r="F827" s="198"/>
      <c r="G827" s="198"/>
      <c r="H827" s="200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  <c r="AA827" s="133"/>
      <c r="AB827" s="133"/>
      <c r="AC827" s="133"/>
      <c r="AD827" s="133"/>
      <c r="AE827" s="133"/>
      <c r="AF827" s="133"/>
    </row>
    <row r="828">
      <c r="A828" s="197"/>
      <c r="B828" s="133"/>
      <c r="C828" s="133"/>
      <c r="D828" s="197"/>
      <c r="E828" s="133"/>
      <c r="F828" s="198"/>
      <c r="G828" s="198"/>
      <c r="H828" s="200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  <c r="AA828" s="133"/>
      <c r="AB828" s="133"/>
      <c r="AC828" s="133"/>
      <c r="AD828" s="133"/>
      <c r="AE828" s="133"/>
      <c r="AF828" s="133"/>
    </row>
    <row r="829">
      <c r="A829" s="197"/>
      <c r="B829" s="133"/>
      <c r="C829" s="133"/>
      <c r="D829" s="197"/>
      <c r="E829" s="133"/>
      <c r="F829" s="198"/>
      <c r="G829" s="198"/>
      <c r="H829" s="200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  <c r="AA829" s="133"/>
      <c r="AB829" s="133"/>
      <c r="AC829" s="133"/>
      <c r="AD829" s="133"/>
      <c r="AE829" s="133"/>
      <c r="AF829" s="133"/>
    </row>
    <row r="830">
      <c r="A830" s="197"/>
      <c r="B830" s="133"/>
      <c r="C830" s="133"/>
      <c r="D830" s="197"/>
      <c r="E830" s="133"/>
      <c r="F830" s="198"/>
      <c r="G830" s="198"/>
      <c r="H830" s="200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  <c r="AA830" s="133"/>
      <c r="AB830" s="133"/>
      <c r="AC830" s="133"/>
      <c r="AD830" s="133"/>
      <c r="AE830" s="133"/>
      <c r="AF830" s="133"/>
    </row>
    <row r="831">
      <c r="A831" s="197"/>
      <c r="B831" s="133"/>
      <c r="C831" s="133"/>
      <c r="D831" s="197"/>
      <c r="E831" s="133"/>
      <c r="F831" s="198"/>
      <c r="G831" s="198"/>
      <c r="H831" s="200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  <c r="AA831" s="133"/>
      <c r="AB831" s="133"/>
      <c r="AC831" s="133"/>
      <c r="AD831" s="133"/>
      <c r="AE831" s="133"/>
      <c r="AF831" s="133"/>
    </row>
    <row r="832">
      <c r="A832" s="197"/>
      <c r="B832" s="133"/>
      <c r="C832" s="133"/>
      <c r="D832" s="197"/>
      <c r="E832" s="133"/>
      <c r="F832" s="198"/>
      <c r="G832" s="198"/>
      <c r="H832" s="200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  <c r="AA832" s="133"/>
      <c r="AB832" s="133"/>
      <c r="AC832" s="133"/>
      <c r="AD832" s="133"/>
      <c r="AE832" s="133"/>
      <c r="AF832" s="133"/>
    </row>
    <row r="833">
      <c r="A833" s="197"/>
      <c r="B833" s="133"/>
      <c r="C833" s="133"/>
      <c r="D833" s="197"/>
      <c r="E833" s="133"/>
      <c r="F833" s="198"/>
      <c r="G833" s="198"/>
      <c r="H833" s="200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  <c r="AA833" s="133"/>
      <c r="AB833" s="133"/>
      <c r="AC833" s="133"/>
      <c r="AD833" s="133"/>
      <c r="AE833" s="133"/>
      <c r="AF833" s="133"/>
    </row>
    <row r="834">
      <c r="A834" s="197"/>
      <c r="B834" s="133"/>
      <c r="C834" s="133"/>
      <c r="D834" s="197"/>
      <c r="E834" s="133"/>
      <c r="F834" s="198"/>
      <c r="G834" s="198"/>
      <c r="H834" s="200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  <c r="AB834" s="133"/>
      <c r="AC834" s="133"/>
      <c r="AD834" s="133"/>
      <c r="AE834" s="133"/>
      <c r="AF834" s="133"/>
    </row>
    <row r="835">
      <c r="A835" s="197"/>
      <c r="B835" s="133"/>
      <c r="C835" s="133"/>
      <c r="D835" s="197"/>
      <c r="E835" s="133"/>
      <c r="F835" s="198"/>
      <c r="G835" s="198"/>
      <c r="H835" s="200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  <c r="AA835" s="133"/>
      <c r="AB835" s="133"/>
      <c r="AC835" s="133"/>
      <c r="AD835" s="133"/>
      <c r="AE835" s="133"/>
      <c r="AF835" s="133"/>
    </row>
    <row r="836">
      <c r="A836" s="197"/>
      <c r="B836" s="133"/>
      <c r="C836" s="133"/>
      <c r="D836" s="197"/>
      <c r="E836" s="133"/>
      <c r="F836" s="198"/>
      <c r="G836" s="198"/>
      <c r="H836" s="200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  <c r="AA836" s="133"/>
      <c r="AB836" s="133"/>
      <c r="AC836" s="133"/>
      <c r="AD836" s="133"/>
      <c r="AE836" s="133"/>
      <c r="AF836" s="133"/>
    </row>
    <row r="837">
      <c r="A837" s="197"/>
      <c r="B837" s="133"/>
      <c r="C837" s="133"/>
      <c r="D837" s="197"/>
      <c r="E837" s="133"/>
      <c r="F837" s="198"/>
      <c r="G837" s="198"/>
      <c r="H837" s="200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  <c r="AB837" s="133"/>
      <c r="AC837" s="133"/>
      <c r="AD837" s="133"/>
      <c r="AE837" s="133"/>
      <c r="AF837" s="133"/>
    </row>
    <row r="838">
      <c r="A838" s="197"/>
      <c r="B838" s="133"/>
      <c r="C838" s="133"/>
      <c r="D838" s="197"/>
      <c r="E838" s="133"/>
      <c r="F838" s="198"/>
      <c r="G838" s="198"/>
      <c r="H838" s="200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  <c r="AB838" s="133"/>
      <c r="AC838" s="133"/>
      <c r="AD838" s="133"/>
      <c r="AE838" s="133"/>
      <c r="AF838" s="133"/>
    </row>
    <row r="839">
      <c r="A839" s="197"/>
      <c r="B839" s="133"/>
      <c r="C839" s="133"/>
      <c r="D839" s="197"/>
      <c r="E839" s="133"/>
      <c r="F839" s="198"/>
      <c r="G839" s="198"/>
      <c r="H839" s="200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  <c r="AB839" s="133"/>
      <c r="AC839" s="133"/>
      <c r="AD839" s="133"/>
      <c r="AE839" s="133"/>
      <c r="AF839" s="133"/>
    </row>
    <row r="840">
      <c r="A840" s="197"/>
      <c r="B840" s="133"/>
      <c r="C840" s="133"/>
      <c r="D840" s="197"/>
      <c r="E840" s="133"/>
      <c r="F840" s="198"/>
      <c r="G840" s="198"/>
      <c r="H840" s="200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  <c r="AB840" s="133"/>
      <c r="AC840" s="133"/>
      <c r="AD840" s="133"/>
      <c r="AE840" s="133"/>
      <c r="AF840" s="133"/>
    </row>
    <row r="841">
      <c r="A841" s="197"/>
      <c r="B841" s="133"/>
      <c r="C841" s="133"/>
      <c r="D841" s="197"/>
      <c r="E841" s="133"/>
      <c r="F841" s="198"/>
      <c r="G841" s="198"/>
      <c r="H841" s="200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  <c r="AB841" s="133"/>
      <c r="AC841" s="133"/>
      <c r="AD841" s="133"/>
      <c r="AE841" s="133"/>
      <c r="AF841" s="133"/>
    </row>
    <row r="842">
      <c r="A842" s="197"/>
      <c r="B842" s="133"/>
      <c r="C842" s="133"/>
      <c r="D842" s="197"/>
      <c r="E842" s="133"/>
      <c r="F842" s="198"/>
      <c r="G842" s="198"/>
      <c r="H842" s="200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  <c r="AB842" s="133"/>
      <c r="AC842" s="133"/>
      <c r="AD842" s="133"/>
      <c r="AE842" s="133"/>
      <c r="AF842" s="133"/>
    </row>
    <row r="843">
      <c r="A843" s="197"/>
      <c r="B843" s="133"/>
      <c r="C843" s="133"/>
      <c r="D843" s="197"/>
      <c r="E843" s="133"/>
      <c r="F843" s="198"/>
      <c r="G843" s="198"/>
      <c r="H843" s="200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  <c r="AB843" s="133"/>
      <c r="AC843" s="133"/>
      <c r="AD843" s="133"/>
      <c r="AE843" s="133"/>
      <c r="AF843" s="133"/>
    </row>
    <row r="844">
      <c r="A844" s="197"/>
      <c r="B844" s="133"/>
      <c r="C844" s="133"/>
      <c r="D844" s="197"/>
      <c r="E844" s="133"/>
      <c r="F844" s="198"/>
      <c r="G844" s="198"/>
      <c r="H844" s="200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  <c r="AA844" s="133"/>
      <c r="AB844" s="133"/>
      <c r="AC844" s="133"/>
      <c r="AD844" s="133"/>
      <c r="AE844" s="133"/>
      <c r="AF844" s="133"/>
    </row>
    <row r="845">
      <c r="A845" s="197"/>
      <c r="B845" s="133"/>
      <c r="C845" s="133"/>
      <c r="D845" s="197"/>
      <c r="E845" s="133"/>
      <c r="F845" s="198"/>
      <c r="G845" s="198"/>
      <c r="H845" s="200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  <c r="AA845" s="133"/>
      <c r="AB845" s="133"/>
      <c r="AC845" s="133"/>
      <c r="AD845" s="133"/>
      <c r="AE845" s="133"/>
      <c r="AF845" s="133"/>
    </row>
    <row r="846">
      <c r="A846" s="197"/>
      <c r="B846" s="133"/>
      <c r="C846" s="133"/>
      <c r="D846" s="197"/>
      <c r="E846" s="133"/>
      <c r="F846" s="198"/>
      <c r="G846" s="198"/>
      <c r="H846" s="200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  <c r="AB846" s="133"/>
      <c r="AC846" s="133"/>
      <c r="AD846" s="133"/>
      <c r="AE846" s="133"/>
      <c r="AF846" s="133"/>
    </row>
    <row r="847">
      <c r="A847" s="197"/>
      <c r="B847" s="133"/>
      <c r="C847" s="133"/>
      <c r="D847" s="197"/>
      <c r="E847" s="133"/>
      <c r="F847" s="198"/>
      <c r="G847" s="198"/>
      <c r="H847" s="200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  <c r="AB847" s="133"/>
      <c r="AC847" s="133"/>
      <c r="AD847" s="133"/>
      <c r="AE847" s="133"/>
      <c r="AF847" s="133"/>
    </row>
    <row r="848">
      <c r="A848" s="197"/>
      <c r="B848" s="133"/>
      <c r="C848" s="133"/>
      <c r="D848" s="197"/>
      <c r="E848" s="133"/>
      <c r="F848" s="198"/>
      <c r="G848" s="198"/>
      <c r="H848" s="200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  <c r="AA848" s="133"/>
      <c r="AB848" s="133"/>
      <c r="AC848" s="133"/>
      <c r="AD848" s="133"/>
      <c r="AE848" s="133"/>
      <c r="AF848" s="133"/>
    </row>
    <row r="849">
      <c r="A849" s="197"/>
      <c r="B849" s="133"/>
      <c r="C849" s="133"/>
      <c r="D849" s="197"/>
      <c r="E849" s="133"/>
      <c r="F849" s="198"/>
      <c r="G849" s="198"/>
      <c r="H849" s="200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  <c r="AA849" s="133"/>
      <c r="AB849" s="133"/>
      <c r="AC849" s="133"/>
      <c r="AD849" s="133"/>
      <c r="AE849" s="133"/>
      <c r="AF849" s="133"/>
    </row>
    <row r="850">
      <c r="A850" s="197"/>
      <c r="B850" s="133"/>
      <c r="C850" s="133"/>
      <c r="D850" s="197"/>
      <c r="E850" s="133"/>
      <c r="F850" s="198"/>
      <c r="G850" s="198"/>
      <c r="H850" s="200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  <c r="AA850" s="133"/>
      <c r="AB850" s="133"/>
      <c r="AC850" s="133"/>
      <c r="AD850" s="133"/>
      <c r="AE850" s="133"/>
      <c r="AF850" s="133"/>
    </row>
    <row r="851">
      <c r="A851" s="197"/>
      <c r="B851" s="133"/>
      <c r="C851" s="133"/>
      <c r="D851" s="197"/>
      <c r="E851" s="133"/>
      <c r="F851" s="198"/>
      <c r="G851" s="198"/>
      <c r="H851" s="200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  <c r="AA851" s="133"/>
      <c r="AB851" s="133"/>
      <c r="AC851" s="133"/>
      <c r="AD851" s="133"/>
      <c r="AE851" s="133"/>
      <c r="AF851" s="133"/>
    </row>
    <row r="852">
      <c r="A852" s="197"/>
      <c r="B852" s="133"/>
      <c r="C852" s="133"/>
      <c r="D852" s="197"/>
      <c r="E852" s="133"/>
      <c r="F852" s="198"/>
      <c r="G852" s="198"/>
      <c r="H852" s="200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  <c r="AA852" s="133"/>
      <c r="AB852" s="133"/>
      <c r="AC852" s="133"/>
      <c r="AD852" s="133"/>
      <c r="AE852" s="133"/>
      <c r="AF852" s="133"/>
    </row>
    <row r="853">
      <c r="A853" s="197"/>
      <c r="B853" s="133"/>
      <c r="C853" s="133"/>
      <c r="D853" s="197"/>
      <c r="E853" s="133"/>
      <c r="F853" s="198"/>
      <c r="G853" s="198"/>
      <c r="H853" s="200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  <c r="AA853" s="133"/>
      <c r="AB853" s="133"/>
      <c r="AC853" s="133"/>
      <c r="AD853" s="133"/>
      <c r="AE853" s="133"/>
      <c r="AF853" s="133"/>
    </row>
    <row r="854">
      <c r="A854" s="197"/>
      <c r="B854" s="133"/>
      <c r="C854" s="133"/>
      <c r="D854" s="197"/>
      <c r="E854" s="133"/>
      <c r="F854" s="198"/>
      <c r="G854" s="198"/>
      <c r="H854" s="200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  <c r="AA854" s="133"/>
      <c r="AB854" s="133"/>
      <c r="AC854" s="133"/>
      <c r="AD854" s="133"/>
      <c r="AE854" s="133"/>
      <c r="AF854" s="133"/>
    </row>
    <row r="855">
      <c r="A855" s="197"/>
      <c r="B855" s="133"/>
      <c r="C855" s="133"/>
      <c r="D855" s="197"/>
      <c r="E855" s="133"/>
      <c r="F855" s="198"/>
      <c r="G855" s="198"/>
      <c r="H855" s="200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  <c r="AA855" s="133"/>
      <c r="AB855" s="133"/>
      <c r="AC855" s="133"/>
      <c r="AD855" s="133"/>
      <c r="AE855" s="133"/>
      <c r="AF855" s="133"/>
    </row>
    <row r="856">
      <c r="A856" s="197"/>
      <c r="B856" s="133"/>
      <c r="C856" s="133"/>
      <c r="D856" s="197"/>
      <c r="E856" s="133"/>
      <c r="F856" s="198"/>
      <c r="G856" s="198"/>
      <c r="H856" s="200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  <c r="AA856" s="133"/>
      <c r="AB856" s="133"/>
      <c r="AC856" s="133"/>
      <c r="AD856" s="133"/>
      <c r="AE856" s="133"/>
      <c r="AF856" s="133"/>
    </row>
    <row r="857">
      <c r="A857" s="197"/>
      <c r="B857" s="133"/>
      <c r="C857" s="133"/>
      <c r="D857" s="197"/>
      <c r="E857" s="133"/>
      <c r="F857" s="198"/>
      <c r="G857" s="198"/>
      <c r="H857" s="200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  <c r="AA857" s="133"/>
      <c r="AB857" s="133"/>
      <c r="AC857" s="133"/>
      <c r="AD857" s="133"/>
      <c r="AE857" s="133"/>
      <c r="AF857" s="133"/>
    </row>
    <row r="858">
      <c r="A858" s="197"/>
      <c r="B858" s="133"/>
      <c r="C858" s="133"/>
      <c r="D858" s="197"/>
      <c r="E858" s="133"/>
      <c r="F858" s="198"/>
      <c r="G858" s="198"/>
      <c r="H858" s="200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  <c r="AA858" s="133"/>
      <c r="AB858" s="133"/>
      <c r="AC858" s="133"/>
      <c r="AD858" s="133"/>
      <c r="AE858" s="133"/>
      <c r="AF858" s="133"/>
    </row>
    <row r="859">
      <c r="A859" s="197"/>
      <c r="B859" s="133"/>
      <c r="C859" s="133"/>
      <c r="D859" s="197"/>
      <c r="E859" s="133"/>
      <c r="F859" s="198"/>
      <c r="G859" s="198"/>
      <c r="H859" s="200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  <c r="AA859" s="133"/>
      <c r="AB859" s="133"/>
      <c r="AC859" s="133"/>
      <c r="AD859" s="133"/>
      <c r="AE859" s="133"/>
      <c r="AF859" s="133"/>
    </row>
    <row r="860">
      <c r="A860" s="197"/>
      <c r="B860" s="133"/>
      <c r="C860" s="133"/>
      <c r="D860" s="197"/>
      <c r="E860" s="133"/>
      <c r="F860" s="198"/>
      <c r="G860" s="198"/>
      <c r="H860" s="200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  <c r="AB860" s="133"/>
      <c r="AC860" s="133"/>
      <c r="AD860" s="133"/>
      <c r="AE860" s="133"/>
      <c r="AF860" s="133"/>
    </row>
    <row r="861">
      <c r="A861" s="197"/>
      <c r="B861" s="133"/>
      <c r="C861" s="133"/>
      <c r="D861" s="197"/>
      <c r="E861" s="133"/>
      <c r="F861" s="198"/>
      <c r="G861" s="198"/>
      <c r="H861" s="200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  <c r="AB861" s="133"/>
      <c r="AC861" s="133"/>
      <c r="AD861" s="133"/>
      <c r="AE861" s="133"/>
      <c r="AF861" s="133"/>
    </row>
    <row r="862">
      <c r="A862" s="197"/>
      <c r="B862" s="133"/>
      <c r="C862" s="133"/>
      <c r="D862" s="197"/>
      <c r="E862" s="133"/>
      <c r="F862" s="198"/>
      <c r="G862" s="198"/>
      <c r="H862" s="200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  <c r="AB862" s="133"/>
      <c r="AC862" s="133"/>
      <c r="AD862" s="133"/>
      <c r="AE862" s="133"/>
      <c r="AF862" s="133"/>
    </row>
    <row r="863">
      <c r="A863" s="197"/>
      <c r="B863" s="133"/>
      <c r="C863" s="133"/>
      <c r="D863" s="197"/>
      <c r="E863" s="133"/>
      <c r="F863" s="198"/>
      <c r="G863" s="198"/>
      <c r="H863" s="200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  <c r="AB863" s="133"/>
      <c r="AC863" s="133"/>
      <c r="AD863" s="133"/>
      <c r="AE863" s="133"/>
      <c r="AF863" s="133"/>
    </row>
    <row r="864">
      <c r="A864" s="197"/>
      <c r="B864" s="133"/>
      <c r="C864" s="133"/>
      <c r="D864" s="197"/>
      <c r="E864" s="133"/>
      <c r="F864" s="198"/>
      <c r="G864" s="198"/>
      <c r="H864" s="200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  <c r="AA864" s="133"/>
      <c r="AB864" s="133"/>
      <c r="AC864" s="133"/>
      <c r="AD864" s="133"/>
      <c r="AE864" s="133"/>
      <c r="AF864" s="133"/>
    </row>
    <row r="865">
      <c r="A865" s="197"/>
      <c r="B865" s="133"/>
      <c r="C865" s="133"/>
      <c r="D865" s="197"/>
      <c r="E865" s="133"/>
      <c r="F865" s="198"/>
      <c r="G865" s="198"/>
      <c r="H865" s="200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  <c r="AA865" s="133"/>
      <c r="AB865" s="133"/>
      <c r="AC865" s="133"/>
      <c r="AD865" s="133"/>
      <c r="AE865" s="133"/>
      <c r="AF865" s="133"/>
    </row>
    <row r="866">
      <c r="A866" s="197"/>
      <c r="B866" s="133"/>
      <c r="C866" s="133"/>
      <c r="D866" s="197"/>
      <c r="E866" s="133"/>
      <c r="F866" s="198"/>
      <c r="G866" s="198"/>
      <c r="H866" s="200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  <c r="AB866" s="133"/>
      <c r="AC866" s="133"/>
      <c r="AD866" s="133"/>
      <c r="AE866" s="133"/>
      <c r="AF866" s="133"/>
    </row>
    <row r="867">
      <c r="A867" s="197"/>
      <c r="B867" s="133"/>
      <c r="C867" s="133"/>
      <c r="D867" s="197"/>
      <c r="E867" s="133"/>
      <c r="F867" s="198"/>
      <c r="G867" s="198"/>
      <c r="H867" s="200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  <c r="AB867" s="133"/>
      <c r="AC867" s="133"/>
      <c r="AD867" s="133"/>
      <c r="AE867" s="133"/>
      <c r="AF867" s="133"/>
    </row>
    <row r="868">
      <c r="A868" s="197"/>
      <c r="B868" s="133"/>
      <c r="C868" s="133"/>
      <c r="D868" s="197"/>
      <c r="E868" s="133"/>
      <c r="F868" s="198"/>
      <c r="G868" s="198"/>
      <c r="H868" s="200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  <c r="AB868" s="133"/>
      <c r="AC868" s="133"/>
      <c r="AD868" s="133"/>
      <c r="AE868" s="133"/>
      <c r="AF868" s="133"/>
    </row>
    <row r="869">
      <c r="A869" s="197"/>
      <c r="B869" s="133"/>
      <c r="C869" s="133"/>
      <c r="D869" s="197"/>
      <c r="E869" s="133"/>
      <c r="F869" s="198"/>
      <c r="G869" s="198"/>
      <c r="H869" s="200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  <c r="AB869" s="133"/>
      <c r="AC869" s="133"/>
      <c r="AD869" s="133"/>
      <c r="AE869" s="133"/>
      <c r="AF869" s="133"/>
    </row>
    <row r="870">
      <c r="A870" s="197"/>
      <c r="B870" s="133"/>
      <c r="C870" s="133"/>
      <c r="D870" s="197"/>
      <c r="E870" s="133"/>
      <c r="F870" s="198"/>
      <c r="G870" s="198"/>
      <c r="H870" s="200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  <c r="AA870" s="133"/>
      <c r="AB870" s="133"/>
      <c r="AC870" s="133"/>
      <c r="AD870" s="133"/>
      <c r="AE870" s="133"/>
      <c r="AF870" s="133"/>
    </row>
    <row r="871">
      <c r="A871" s="197"/>
      <c r="B871" s="133"/>
      <c r="C871" s="133"/>
      <c r="D871" s="197"/>
      <c r="E871" s="133"/>
      <c r="F871" s="198"/>
      <c r="G871" s="198"/>
      <c r="H871" s="200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  <c r="AA871" s="133"/>
      <c r="AB871" s="133"/>
      <c r="AC871" s="133"/>
      <c r="AD871" s="133"/>
      <c r="AE871" s="133"/>
      <c r="AF871" s="133"/>
    </row>
    <row r="872">
      <c r="A872" s="197"/>
      <c r="B872" s="133"/>
      <c r="C872" s="133"/>
      <c r="D872" s="197"/>
      <c r="E872" s="133"/>
      <c r="F872" s="198"/>
      <c r="G872" s="198"/>
      <c r="H872" s="200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  <c r="AB872" s="133"/>
      <c r="AC872" s="133"/>
      <c r="AD872" s="133"/>
      <c r="AE872" s="133"/>
      <c r="AF872" s="133"/>
    </row>
    <row r="873">
      <c r="A873" s="197"/>
      <c r="B873" s="133"/>
      <c r="C873" s="133"/>
      <c r="D873" s="197"/>
      <c r="E873" s="133"/>
      <c r="F873" s="198"/>
      <c r="G873" s="198"/>
      <c r="H873" s="200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  <c r="AA873" s="133"/>
      <c r="AB873" s="133"/>
      <c r="AC873" s="133"/>
      <c r="AD873" s="133"/>
      <c r="AE873" s="133"/>
      <c r="AF873" s="133"/>
    </row>
    <row r="874">
      <c r="A874" s="197"/>
      <c r="B874" s="133"/>
      <c r="C874" s="133"/>
      <c r="D874" s="197"/>
      <c r="E874" s="133"/>
      <c r="F874" s="198"/>
      <c r="G874" s="198"/>
      <c r="H874" s="200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  <c r="AA874" s="133"/>
      <c r="AB874" s="133"/>
      <c r="AC874" s="133"/>
      <c r="AD874" s="133"/>
      <c r="AE874" s="133"/>
      <c r="AF874" s="133"/>
    </row>
    <row r="875">
      <c r="A875" s="197"/>
      <c r="B875" s="133"/>
      <c r="C875" s="133"/>
      <c r="D875" s="197"/>
      <c r="E875" s="133"/>
      <c r="F875" s="198"/>
      <c r="G875" s="198"/>
      <c r="H875" s="200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  <c r="AB875" s="133"/>
      <c r="AC875" s="133"/>
      <c r="AD875" s="133"/>
      <c r="AE875" s="133"/>
      <c r="AF875" s="133"/>
    </row>
    <row r="876">
      <c r="A876" s="197"/>
      <c r="B876" s="133"/>
      <c r="C876" s="133"/>
      <c r="D876" s="197"/>
      <c r="E876" s="133"/>
      <c r="F876" s="198"/>
      <c r="G876" s="198"/>
      <c r="H876" s="200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  <c r="AB876" s="133"/>
      <c r="AC876" s="133"/>
      <c r="AD876" s="133"/>
      <c r="AE876" s="133"/>
      <c r="AF876" s="133"/>
    </row>
    <row r="877">
      <c r="A877" s="197"/>
      <c r="B877" s="133"/>
      <c r="C877" s="133"/>
      <c r="D877" s="197"/>
      <c r="E877" s="133"/>
      <c r="F877" s="198"/>
      <c r="G877" s="198"/>
      <c r="H877" s="200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  <c r="AA877" s="133"/>
      <c r="AB877" s="133"/>
      <c r="AC877" s="133"/>
      <c r="AD877" s="133"/>
      <c r="AE877" s="133"/>
      <c r="AF877" s="133"/>
    </row>
    <row r="878">
      <c r="A878" s="197"/>
      <c r="B878" s="133"/>
      <c r="C878" s="133"/>
      <c r="D878" s="197"/>
      <c r="E878" s="133"/>
      <c r="F878" s="198"/>
      <c r="G878" s="198"/>
      <c r="H878" s="200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  <c r="AA878" s="133"/>
      <c r="AB878" s="133"/>
      <c r="AC878" s="133"/>
      <c r="AD878" s="133"/>
      <c r="AE878" s="133"/>
      <c r="AF878" s="133"/>
    </row>
    <row r="879">
      <c r="A879" s="197"/>
      <c r="B879" s="133"/>
      <c r="C879" s="133"/>
      <c r="D879" s="197"/>
      <c r="E879" s="133"/>
      <c r="F879" s="198"/>
      <c r="G879" s="198"/>
      <c r="H879" s="200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  <c r="AB879" s="133"/>
      <c r="AC879" s="133"/>
      <c r="AD879" s="133"/>
      <c r="AE879" s="133"/>
      <c r="AF879" s="133"/>
    </row>
    <row r="880">
      <c r="A880" s="197"/>
      <c r="B880" s="133"/>
      <c r="C880" s="133"/>
      <c r="D880" s="197"/>
      <c r="E880" s="133"/>
      <c r="F880" s="198"/>
      <c r="G880" s="198"/>
      <c r="H880" s="200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  <c r="AB880" s="133"/>
      <c r="AC880" s="133"/>
      <c r="AD880" s="133"/>
      <c r="AE880" s="133"/>
      <c r="AF880" s="133"/>
    </row>
    <row r="881">
      <c r="A881" s="197"/>
      <c r="B881" s="133"/>
      <c r="C881" s="133"/>
      <c r="D881" s="197"/>
      <c r="E881" s="133"/>
      <c r="F881" s="198"/>
      <c r="G881" s="198"/>
      <c r="H881" s="200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  <c r="AB881" s="133"/>
      <c r="AC881" s="133"/>
      <c r="AD881" s="133"/>
      <c r="AE881" s="133"/>
      <c r="AF881" s="133"/>
    </row>
    <row r="882">
      <c r="A882" s="197"/>
      <c r="B882" s="133"/>
      <c r="C882" s="133"/>
      <c r="D882" s="197"/>
      <c r="E882" s="133"/>
      <c r="F882" s="198"/>
      <c r="G882" s="198"/>
      <c r="H882" s="200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  <c r="AA882" s="133"/>
      <c r="AB882" s="133"/>
      <c r="AC882" s="133"/>
      <c r="AD882" s="133"/>
      <c r="AE882" s="133"/>
      <c r="AF882" s="133"/>
    </row>
    <row r="883">
      <c r="A883" s="197"/>
      <c r="B883" s="133"/>
      <c r="C883" s="133"/>
      <c r="D883" s="197"/>
      <c r="E883" s="133"/>
      <c r="F883" s="198"/>
      <c r="G883" s="198"/>
      <c r="H883" s="200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  <c r="AA883" s="133"/>
      <c r="AB883" s="133"/>
      <c r="AC883" s="133"/>
      <c r="AD883" s="133"/>
      <c r="AE883" s="133"/>
      <c r="AF883" s="133"/>
    </row>
    <row r="884">
      <c r="A884" s="197"/>
      <c r="B884" s="133"/>
      <c r="C884" s="133"/>
      <c r="D884" s="197"/>
      <c r="E884" s="133"/>
      <c r="F884" s="198"/>
      <c r="G884" s="198"/>
      <c r="H884" s="200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  <c r="AB884" s="133"/>
      <c r="AC884" s="133"/>
      <c r="AD884" s="133"/>
      <c r="AE884" s="133"/>
      <c r="AF884" s="133"/>
    </row>
    <row r="885">
      <c r="A885" s="197"/>
      <c r="B885" s="133"/>
      <c r="C885" s="133"/>
      <c r="D885" s="197"/>
      <c r="E885" s="133"/>
      <c r="F885" s="198"/>
      <c r="G885" s="198"/>
      <c r="H885" s="200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  <c r="AB885" s="133"/>
      <c r="AC885" s="133"/>
      <c r="AD885" s="133"/>
      <c r="AE885" s="133"/>
      <c r="AF885" s="133"/>
    </row>
    <row r="886">
      <c r="A886" s="197"/>
      <c r="B886" s="133"/>
      <c r="C886" s="133"/>
      <c r="D886" s="197"/>
      <c r="E886" s="133"/>
      <c r="F886" s="198"/>
      <c r="G886" s="198"/>
      <c r="H886" s="200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  <c r="AA886" s="133"/>
      <c r="AB886" s="133"/>
      <c r="AC886" s="133"/>
      <c r="AD886" s="133"/>
      <c r="AE886" s="133"/>
      <c r="AF886" s="133"/>
    </row>
    <row r="887">
      <c r="A887" s="197"/>
      <c r="B887" s="133"/>
      <c r="C887" s="133"/>
      <c r="D887" s="197"/>
      <c r="E887" s="133"/>
      <c r="F887" s="198"/>
      <c r="G887" s="198"/>
      <c r="H887" s="200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  <c r="AA887" s="133"/>
      <c r="AB887" s="133"/>
      <c r="AC887" s="133"/>
      <c r="AD887" s="133"/>
      <c r="AE887" s="133"/>
      <c r="AF887" s="133"/>
    </row>
    <row r="888">
      <c r="A888" s="197"/>
      <c r="B888" s="133"/>
      <c r="C888" s="133"/>
      <c r="D888" s="197"/>
      <c r="E888" s="133"/>
      <c r="F888" s="198"/>
      <c r="G888" s="198"/>
      <c r="H888" s="200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  <c r="AB888" s="133"/>
      <c r="AC888" s="133"/>
      <c r="AD888" s="133"/>
      <c r="AE888" s="133"/>
      <c r="AF888" s="133"/>
    </row>
    <row r="889">
      <c r="A889" s="197"/>
      <c r="B889" s="133"/>
      <c r="C889" s="133"/>
      <c r="D889" s="197"/>
      <c r="E889" s="133"/>
      <c r="F889" s="198"/>
      <c r="G889" s="198"/>
      <c r="H889" s="200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  <c r="AA889" s="133"/>
      <c r="AB889" s="133"/>
      <c r="AC889" s="133"/>
      <c r="AD889" s="133"/>
      <c r="AE889" s="133"/>
      <c r="AF889" s="133"/>
    </row>
    <row r="890">
      <c r="A890" s="197"/>
      <c r="B890" s="133"/>
      <c r="C890" s="133"/>
      <c r="D890" s="197"/>
      <c r="E890" s="133"/>
      <c r="F890" s="198"/>
      <c r="G890" s="198"/>
      <c r="H890" s="200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  <c r="AA890" s="133"/>
      <c r="AB890" s="133"/>
      <c r="AC890" s="133"/>
      <c r="AD890" s="133"/>
      <c r="AE890" s="133"/>
      <c r="AF890" s="133"/>
    </row>
    <row r="891">
      <c r="A891" s="197"/>
      <c r="B891" s="133"/>
      <c r="C891" s="133"/>
      <c r="D891" s="197"/>
      <c r="E891" s="133"/>
      <c r="F891" s="198"/>
      <c r="G891" s="198"/>
      <c r="H891" s="200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  <c r="AA891" s="133"/>
      <c r="AB891" s="133"/>
      <c r="AC891" s="133"/>
      <c r="AD891" s="133"/>
      <c r="AE891" s="133"/>
      <c r="AF891" s="133"/>
    </row>
    <row r="892">
      <c r="A892" s="197"/>
      <c r="B892" s="133"/>
      <c r="C892" s="133"/>
      <c r="D892" s="197"/>
      <c r="E892" s="133"/>
      <c r="F892" s="198"/>
      <c r="G892" s="198"/>
      <c r="H892" s="200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  <c r="AA892" s="133"/>
      <c r="AB892" s="133"/>
      <c r="AC892" s="133"/>
      <c r="AD892" s="133"/>
      <c r="AE892" s="133"/>
      <c r="AF892" s="133"/>
    </row>
    <row r="893">
      <c r="A893" s="197"/>
      <c r="B893" s="133"/>
      <c r="C893" s="133"/>
      <c r="D893" s="197"/>
      <c r="E893" s="133"/>
      <c r="F893" s="198"/>
      <c r="G893" s="198"/>
      <c r="H893" s="200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  <c r="AA893" s="133"/>
      <c r="AB893" s="133"/>
      <c r="AC893" s="133"/>
      <c r="AD893" s="133"/>
      <c r="AE893" s="133"/>
      <c r="AF893" s="133"/>
    </row>
    <row r="894">
      <c r="A894" s="197"/>
      <c r="B894" s="133"/>
      <c r="C894" s="133"/>
      <c r="D894" s="197"/>
      <c r="E894" s="133"/>
      <c r="F894" s="198"/>
      <c r="G894" s="198"/>
      <c r="H894" s="200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  <c r="AA894" s="133"/>
      <c r="AB894" s="133"/>
      <c r="AC894" s="133"/>
      <c r="AD894" s="133"/>
      <c r="AE894" s="133"/>
      <c r="AF894" s="133"/>
    </row>
    <row r="895">
      <c r="A895" s="197"/>
      <c r="B895" s="133"/>
      <c r="C895" s="133"/>
      <c r="D895" s="197"/>
      <c r="E895" s="133"/>
      <c r="F895" s="198"/>
      <c r="G895" s="198"/>
      <c r="H895" s="200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  <c r="AA895" s="133"/>
      <c r="AB895" s="133"/>
      <c r="AC895" s="133"/>
      <c r="AD895" s="133"/>
      <c r="AE895" s="133"/>
      <c r="AF895" s="133"/>
    </row>
    <row r="896">
      <c r="A896" s="197"/>
      <c r="B896" s="133"/>
      <c r="C896" s="133"/>
      <c r="D896" s="197"/>
      <c r="E896" s="133"/>
      <c r="F896" s="198"/>
      <c r="G896" s="198"/>
      <c r="H896" s="200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  <c r="AA896" s="133"/>
      <c r="AB896" s="133"/>
      <c r="AC896" s="133"/>
      <c r="AD896" s="133"/>
      <c r="AE896" s="133"/>
      <c r="AF896" s="133"/>
    </row>
    <row r="897">
      <c r="A897" s="197"/>
      <c r="B897" s="133"/>
      <c r="C897" s="133"/>
      <c r="D897" s="197"/>
      <c r="E897" s="133"/>
      <c r="F897" s="198"/>
      <c r="G897" s="198"/>
      <c r="H897" s="200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  <c r="AA897" s="133"/>
      <c r="AB897" s="133"/>
      <c r="AC897" s="133"/>
      <c r="AD897" s="133"/>
      <c r="AE897" s="133"/>
      <c r="AF897" s="133"/>
    </row>
    <row r="898">
      <c r="A898" s="197"/>
      <c r="B898" s="133"/>
      <c r="C898" s="133"/>
      <c r="D898" s="197"/>
      <c r="E898" s="133"/>
      <c r="F898" s="198"/>
      <c r="G898" s="198"/>
      <c r="H898" s="200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  <c r="AA898" s="133"/>
      <c r="AB898" s="133"/>
      <c r="AC898" s="133"/>
      <c r="AD898" s="133"/>
      <c r="AE898" s="133"/>
      <c r="AF898" s="133"/>
    </row>
    <row r="899">
      <c r="A899" s="197"/>
      <c r="B899" s="133"/>
      <c r="C899" s="133"/>
      <c r="D899" s="197"/>
      <c r="E899" s="133"/>
      <c r="F899" s="198"/>
      <c r="G899" s="198"/>
      <c r="H899" s="200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  <c r="AA899" s="133"/>
      <c r="AB899" s="133"/>
      <c r="AC899" s="133"/>
      <c r="AD899" s="133"/>
      <c r="AE899" s="133"/>
      <c r="AF899" s="133"/>
    </row>
    <row r="900">
      <c r="A900" s="197"/>
      <c r="B900" s="133"/>
      <c r="C900" s="133"/>
      <c r="D900" s="197"/>
      <c r="E900" s="133"/>
      <c r="F900" s="198"/>
      <c r="G900" s="198"/>
      <c r="H900" s="200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  <c r="AA900" s="133"/>
      <c r="AB900" s="133"/>
      <c r="AC900" s="133"/>
      <c r="AD900" s="133"/>
      <c r="AE900" s="133"/>
      <c r="AF900" s="133"/>
    </row>
    <row r="901">
      <c r="A901" s="197"/>
      <c r="B901" s="133"/>
      <c r="C901" s="133"/>
      <c r="D901" s="197"/>
      <c r="E901" s="133"/>
      <c r="F901" s="198"/>
      <c r="G901" s="198"/>
      <c r="H901" s="200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  <c r="AA901" s="133"/>
      <c r="AB901" s="133"/>
      <c r="AC901" s="133"/>
      <c r="AD901" s="133"/>
      <c r="AE901" s="133"/>
      <c r="AF901" s="133"/>
    </row>
    <row r="902">
      <c r="A902" s="197"/>
      <c r="B902" s="133"/>
      <c r="C902" s="133"/>
      <c r="D902" s="197"/>
      <c r="E902" s="133"/>
      <c r="F902" s="198"/>
      <c r="G902" s="198"/>
      <c r="H902" s="200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  <c r="AA902" s="133"/>
      <c r="AB902" s="133"/>
      <c r="AC902" s="133"/>
      <c r="AD902" s="133"/>
      <c r="AE902" s="133"/>
      <c r="AF902" s="133"/>
    </row>
    <row r="903">
      <c r="A903" s="197"/>
      <c r="B903" s="133"/>
      <c r="C903" s="133"/>
      <c r="D903" s="197"/>
      <c r="E903" s="133"/>
      <c r="F903" s="198"/>
      <c r="G903" s="198"/>
      <c r="H903" s="200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  <c r="AA903" s="133"/>
      <c r="AB903" s="133"/>
      <c r="AC903" s="133"/>
      <c r="AD903" s="133"/>
      <c r="AE903" s="133"/>
      <c r="AF903" s="133"/>
    </row>
    <row r="904">
      <c r="A904" s="197"/>
      <c r="B904" s="133"/>
      <c r="C904" s="133"/>
      <c r="D904" s="197"/>
      <c r="E904" s="133"/>
      <c r="F904" s="198"/>
      <c r="G904" s="198"/>
      <c r="H904" s="200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  <c r="AA904" s="133"/>
      <c r="AB904" s="133"/>
      <c r="AC904" s="133"/>
      <c r="AD904" s="133"/>
      <c r="AE904" s="133"/>
      <c r="AF904" s="133"/>
    </row>
    <row r="905">
      <c r="A905" s="197"/>
      <c r="B905" s="133"/>
      <c r="C905" s="133"/>
      <c r="D905" s="197"/>
      <c r="E905" s="133"/>
      <c r="F905" s="198"/>
      <c r="G905" s="198"/>
      <c r="H905" s="200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  <c r="AA905" s="133"/>
      <c r="AB905" s="133"/>
      <c r="AC905" s="133"/>
      <c r="AD905" s="133"/>
      <c r="AE905" s="133"/>
      <c r="AF905" s="133"/>
    </row>
    <row r="906">
      <c r="A906" s="197"/>
      <c r="B906" s="133"/>
      <c r="C906" s="133"/>
      <c r="D906" s="197"/>
      <c r="E906" s="133"/>
      <c r="F906" s="198"/>
      <c r="G906" s="198"/>
      <c r="H906" s="200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  <c r="AA906" s="133"/>
      <c r="AB906" s="133"/>
      <c r="AC906" s="133"/>
      <c r="AD906" s="133"/>
      <c r="AE906" s="133"/>
      <c r="AF906" s="133"/>
    </row>
    <row r="907">
      <c r="A907" s="197"/>
      <c r="B907" s="133"/>
      <c r="C907" s="133"/>
      <c r="D907" s="197"/>
      <c r="E907" s="133"/>
      <c r="F907" s="198"/>
      <c r="G907" s="198"/>
      <c r="H907" s="200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  <c r="AA907" s="133"/>
      <c r="AB907" s="133"/>
      <c r="AC907" s="133"/>
      <c r="AD907" s="133"/>
      <c r="AE907" s="133"/>
      <c r="AF907" s="133"/>
    </row>
    <row r="908">
      <c r="A908" s="197"/>
      <c r="B908" s="133"/>
      <c r="C908" s="133"/>
      <c r="D908" s="197"/>
      <c r="E908" s="133"/>
      <c r="F908" s="198"/>
      <c r="G908" s="198"/>
      <c r="H908" s="200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  <c r="AA908" s="133"/>
      <c r="AB908" s="133"/>
      <c r="AC908" s="133"/>
      <c r="AD908" s="133"/>
      <c r="AE908" s="133"/>
      <c r="AF908" s="133"/>
    </row>
    <row r="909">
      <c r="A909" s="197"/>
      <c r="B909" s="133"/>
      <c r="C909" s="133"/>
      <c r="D909" s="197"/>
      <c r="E909" s="133"/>
      <c r="F909" s="198"/>
      <c r="G909" s="198"/>
      <c r="H909" s="200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  <c r="AA909" s="133"/>
      <c r="AB909" s="133"/>
      <c r="AC909" s="133"/>
      <c r="AD909" s="133"/>
      <c r="AE909" s="133"/>
      <c r="AF909" s="133"/>
    </row>
    <row r="910">
      <c r="A910" s="197"/>
      <c r="B910" s="133"/>
      <c r="C910" s="133"/>
      <c r="D910" s="197"/>
      <c r="E910" s="133"/>
      <c r="F910" s="198"/>
      <c r="G910" s="198"/>
      <c r="H910" s="200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  <c r="AB910" s="133"/>
      <c r="AC910" s="133"/>
      <c r="AD910" s="133"/>
      <c r="AE910" s="133"/>
      <c r="AF910" s="133"/>
    </row>
    <row r="911">
      <c r="A911" s="197"/>
      <c r="B911" s="133"/>
      <c r="C911" s="133"/>
      <c r="D911" s="197"/>
      <c r="E911" s="133"/>
      <c r="F911" s="198"/>
      <c r="G911" s="198"/>
      <c r="H911" s="200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  <c r="AB911" s="133"/>
      <c r="AC911" s="133"/>
      <c r="AD911" s="133"/>
      <c r="AE911" s="133"/>
      <c r="AF911" s="133"/>
    </row>
    <row r="912">
      <c r="A912" s="197"/>
      <c r="B912" s="133"/>
      <c r="C912" s="133"/>
      <c r="D912" s="197"/>
      <c r="E912" s="133"/>
      <c r="F912" s="198"/>
      <c r="G912" s="198"/>
      <c r="H912" s="200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  <c r="AA912" s="133"/>
      <c r="AB912" s="133"/>
      <c r="AC912" s="133"/>
      <c r="AD912" s="133"/>
      <c r="AE912" s="133"/>
      <c r="AF912" s="133"/>
    </row>
    <row r="913">
      <c r="A913" s="197"/>
      <c r="B913" s="133"/>
      <c r="C913" s="133"/>
      <c r="D913" s="197"/>
      <c r="E913" s="133"/>
      <c r="F913" s="198"/>
      <c r="G913" s="198"/>
      <c r="H913" s="200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  <c r="AA913" s="133"/>
      <c r="AB913" s="133"/>
      <c r="AC913" s="133"/>
      <c r="AD913" s="133"/>
      <c r="AE913" s="133"/>
      <c r="AF913" s="133"/>
    </row>
    <row r="914">
      <c r="A914" s="197"/>
      <c r="B914" s="133"/>
      <c r="C914" s="133"/>
      <c r="D914" s="197"/>
      <c r="E914" s="133"/>
      <c r="F914" s="198"/>
      <c r="G914" s="198"/>
      <c r="H914" s="200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  <c r="AA914" s="133"/>
      <c r="AB914" s="133"/>
      <c r="AC914" s="133"/>
      <c r="AD914" s="133"/>
      <c r="AE914" s="133"/>
      <c r="AF914" s="133"/>
    </row>
    <row r="915">
      <c r="A915" s="197"/>
      <c r="B915" s="133"/>
      <c r="C915" s="133"/>
      <c r="D915" s="197"/>
      <c r="E915" s="133"/>
      <c r="F915" s="198"/>
      <c r="G915" s="198"/>
      <c r="H915" s="200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  <c r="AA915" s="133"/>
      <c r="AB915" s="133"/>
      <c r="AC915" s="133"/>
      <c r="AD915" s="133"/>
      <c r="AE915" s="133"/>
      <c r="AF915" s="133"/>
    </row>
    <row r="916">
      <c r="A916" s="197"/>
      <c r="B916" s="133"/>
      <c r="C916" s="133"/>
      <c r="D916" s="197"/>
      <c r="E916" s="133"/>
      <c r="F916" s="198"/>
      <c r="G916" s="198"/>
      <c r="H916" s="200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  <c r="AA916" s="133"/>
      <c r="AB916" s="133"/>
      <c r="AC916" s="133"/>
      <c r="AD916" s="133"/>
      <c r="AE916" s="133"/>
      <c r="AF916" s="133"/>
    </row>
    <row r="917">
      <c r="A917" s="197"/>
      <c r="B917" s="133"/>
      <c r="C917" s="133"/>
      <c r="D917" s="197"/>
      <c r="E917" s="133"/>
      <c r="F917" s="198"/>
      <c r="G917" s="198"/>
      <c r="H917" s="200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  <c r="AA917" s="133"/>
      <c r="AB917" s="133"/>
      <c r="AC917" s="133"/>
      <c r="AD917" s="133"/>
      <c r="AE917" s="133"/>
      <c r="AF917" s="133"/>
    </row>
    <row r="918">
      <c r="A918" s="197"/>
      <c r="B918" s="133"/>
      <c r="C918" s="133"/>
      <c r="D918" s="197"/>
      <c r="E918" s="133"/>
      <c r="F918" s="198"/>
      <c r="G918" s="198"/>
      <c r="H918" s="200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  <c r="AA918" s="133"/>
      <c r="AB918" s="133"/>
      <c r="AC918" s="133"/>
      <c r="AD918" s="133"/>
      <c r="AE918" s="133"/>
      <c r="AF918" s="133"/>
    </row>
    <row r="919">
      <c r="A919" s="197"/>
      <c r="B919" s="133"/>
      <c r="C919" s="133"/>
      <c r="D919" s="197"/>
      <c r="E919" s="133"/>
      <c r="F919" s="198"/>
      <c r="G919" s="198"/>
      <c r="H919" s="200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  <c r="AA919" s="133"/>
      <c r="AB919" s="133"/>
      <c r="AC919" s="133"/>
      <c r="AD919" s="133"/>
      <c r="AE919" s="133"/>
      <c r="AF919" s="133"/>
    </row>
    <row r="920">
      <c r="A920" s="197"/>
      <c r="B920" s="133"/>
      <c r="C920" s="133"/>
      <c r="D920" s="197"/>
      <c r="E920" s="133"/>
      <c r="F920" s="198"/>
      <c r="G920" s="198"/>
      <c r="H920" s="200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  <c r="AA920" s="133"/>
      <c r="AB920" s="133"/>
      <c r="AC920" s="133"/>
      <c r="AD920" s="133"/>
      <c r="AE920" s="133"/>
      <c r="AF920" s="133"/>
    </row>
    <row r="921">
      <c r="A921" s="197"/>
      <c r="B921" s="133"/>
      <c r="C921" s="133"/>
      <c r="D921" s="197"/>
      <c r="E921" s="133"/>
      <c r="F921" s="198"/>
      <c r="G921" s="198"/>
      <c r="H921" s="200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  <c r="AA921" s="133"/>
      <c r="AB921" s="133"/>
      <c r="AC921" s="133"/>
      <c r="AD921" s="133"/>
      <c r="AE921" s="133"/>
      <c r="AF921" s="133"/>
    </row>
    <row r="922">
      <c r="A922" s="197"/>
      <c r="B922" s="133"/>
      <c r="C922" s="133"/>
      <c r="D922" s="197"/>
      <c r="E922" s="133"/>
      <c r="F922" s="198"/>
      <c r="G922" s="198"/>
      <c r="H922" s="200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  <c r="AA922" s="133"/>
      <c r="AB922" s="133"/>
      <c r="AC922" s="133"/>
      <c r="AD922" s="133"/>
      <c r="AE922" s="133"/>
      <c r="AF922" s="133"/>
    </row>
    <row r="923">
      <c r="A923" s="197"/>
      <c r="B923" s="133"/>
      <c r="C923" s="133"/>
      <c r="D923" s="197"/>
      <c r="E923" s="133"/>
      <c r="F923" s="198"/>
      <c r="G923" s="198"/>
      <c r="H923" s="200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  <c r="AA923" s="133"/>
      <c r="AB923" s="133"/>
      <c r="AC923" s="133"/>
      <c r="AD923" s="133"/>
      <c r="AE923" s="133"/>
      <c r="AF923" s="133"/>
    </row>
    <row r="924">
      <c r="A924" s="197"/>
      <c r="B924" s="133"/>
      <c r="C924" s="133"/>
      <c r="D924" s="197"/>
      <c r="E924" s="133"/>
      <c r="F924" s="198"/>
      <c r="G924" s="198"/>
      <c r="H924" s="200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  <c r="AA924" s="133"/>
      <c r="AB924" s="133"/>
      <c r="AC924" s="133"/>
      <c r="AD924" s="133"/>
      <c r="AE924" s="133"/>
      <c r="AF924" s="133"/>
    </row>
    <row r="925">
      <c r="A925" s="197"/>
      <c r="B925" s="133"/>
      <c r="C925" s="133"/>
      <c r="D925" s="197"/>
      <c r="E925" s="133"/>
      <c r="F925" s="198"/>
      <c r="G925" s="198"/>
      <c r="H925" s="200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  <c r="AA925" s="133"/>
      <c r="AB925" s="133"/>
      <c r="AC925" s="133"/>
      <c r="AD925" s="133"/>
      <c r="AE925" s="133"/>
      <c r="AF925" s="133"/>
    </row>
    <row r="926">
      <c r="A926" s="197"/>
      <c r="B926" s="133"/>
      <c r="C926" s="133"/>
      <c r="D926" s="197"/>
      <c r="E926" s="133"/>
      <c r="F926" s="198"/>
      <c r="G926" s="198"/>
      <c r="H926" s="200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  <c r="AA926" s="133"/>
      <c r="AB926" s="133"/>
      <c r="AC926" s="133"/>
      <c r="AD926" s="133"/>
      <c r="AE926" s="133"/>
      <c r="AF926" s="133"/>
    </row>
    <row r="927">
      <c r="A927" s="197"/>
      <c r="B927" s="133"/>
      <c r="C927" s="133"/>
      <c r="D927" s="197"/>
      <c r="E927" s="133"/>
      <c r="F927" s="198"/>
      <c r="G927" s="198"/>
      <c r="H927" s="200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  <c r="AA927" s="133"/>
      <c r="AB927" s="133"/>
      <c r="AC927" s="133"/>
      <c r="AD927" s="133"/>
      <c r="AE927" s="133"/>
      <c r="AF927" s="133"/>
    </row>
    <row r="928">
      <c r="A928" s="197"/>
      <c r="B928" s="133"/>
      <c r="C928" s="133"/>
      <c r="D928" s="197"/>
      <c r="E928" s="133"/>
      <c r="F928" s="198"/>
      <c r="G928" s="198"/>
      <c r="H928" s="200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  <c r="AA928" s="133"/>
      <c r="AB928" s="133"/>
      <c r="AC928" s="133"/>
      <c r="AD928" s="133"/>
      <c r="AE928" s="133"/>
      <c r="AF928" s="133"/>
    </row>
    <row r="929">
      <c r="A929" s="197"/>
      <c r="B929" s="133"/>
      <c r="C929" s="133"/>
      <c r="D929" s="197"/>
      <c r="E929" s="133"/>
      <c r="F929" s="198"/>
      <c r="G929" s="198"/>
      <c r="H929" s="200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  <c r="AA929" s="133"/>
      <c r="AB929" s="133"/>
      <c r="AC929" s="133"/>
      <c r="AD929" s="133"/>
      <c r="AE929" s="133"/>
      <c r="AF929" s="133"/>
    </row>
    <row r="930">
      <c r="A930" s="197"/>
      <c r="B930" s="133"/>
      <c r="C930" s="133"/>
      <c r="D930" s="197"/>
      <c r="E930" s="133"/>
      <c r="F930" s="198"/>
      <c r="G930" s="198"/>
      <c r="H930" s="200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  <c r="AA930" s="133"/>
      <c r="AB930" s="133"/>
      <c r="AC930" s="133"/>
      <c r="AD930" s="133"/>
      <c r="AE930" s="133"/>
      <c r="AF930" s="133"/>
    </row>
    <row r="931">
      <c r="A931" s="197"/>
      <c r="B931" s="133"/>
      <c r="C931" s="133"/>
      <c r="D931" s="197"/>
      <c r="E931" s="133"/>
      <c r="F931" s="198"/>
      <c r="G931" s="198"/>
      <c r="H931" s="200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  <c r="AA931" s="133"/>
      <c r="AB931" s="133"/>
      <c r="AC931" s="133"/>
      <c r="AD931" s="133"/>
      <c r="AE931" s="133"/>
      <c r="AF931" s="133"/>
    </row>
    <row r="932">
      <c r="A932" s="197"/>
      <c r="B932" s="133"/>
      <c r="C932" s="133"/>
      <c r="D932" s="197"/>
      <c r="E932" s="133"/>
      <c r="F932" s="198"/>
      <c r="G932" s="198"/>
      <c r="H932" s="200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  <c r="AB932" s="133"/>
      <c r="AC932" s="133"/>
      <c r="AD932" s="133"/>
      <c r="AE932" s="133"/>
      <c r="AF932" s="133"/>
    </row>
    <row r="933">
      <c r="A933" s="197"/>
      <c r="B933" s="133"/>
      <c r="C933" s="133"/>
      <c r="D933" s="197"/>
      <c r="E933" s="133"/>
      <c r="F933" s="198"/>
      <c r="G933" s="198"/>
      <c r="H933" s="200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  <c r="AB933" s="133"/>
      <c r="AC933" s="133"/>
      <c r="AD933" s="133"/>
      <c r="AE933" s="133"/>
      <c r="AF933" s="133"/>
    </row>
    <row r="934">
      <c r="A934" s="197"/>
      <c r="B934" s="133"/>
      <c r="C934" s="133"/>
      <c r="D934" s="197"/>
      <c r="E934" s="133"/>
      <c r="F934" s="198"/>
      <c r="G934" s="198"/>
      <c r="H934" s="200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  <c r="AB934" s="133"/>
      <c r="AC934" s="133"/>
      <c r="AD934" s="133"/>
      <c r="AE934" s="133"/>
      <c r="AF934" s="133"/>
    </row>
    <row r="935">
      <c r="A935" s="197"/>
      <c r="B935" s="133"/>
      <c r="C935" s="133"/>
      <c r="D935" s="197"/>
      <c r="E935" s="133"/>
      <c r="F935" s="198"/>
      <c r="G935" s="198"/>
      <c r="H935" s="200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  <c r="AB935" s="133"/>
      <c r="AC935" s="133"/>
      <c r="AD935" s="133"/>
      <c r="AE935" s="133"/>
      <c r="AF935" s="133"/>
    </row>
    <row r="936">
      <c r="A936" s="197"/>
      <c r="B936" s="133"/>
      <c r="C936" s="133"/>
      <c r="D936" s="197"/>
      <c r="E936" s="133"/>
      <c r="F936" s="198"/>
      <c r="G936" s="198"/>
      <c r="H936" s="200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  <c r="AB936" s="133"/>
      <c r="AC936" s="133"/>
      <c r="AD936" s="133"/>
      <c r="AE936" s="133"/>
      <c r="AF936" s="133"/>
    </row>
    <row r="937">
      <c r="A937" s="197"/>
      <c r="B937" s="133"/>
      <c r="C937" s="133"/>
      <c r="D937" s="197"/>
      <c r="E937" s="133"/>
      <c r="F937" s="198"/>
      <c r="G937" s="198"/>
      <c r="H937" s="200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  <c r="AB937" s="133"/>
      <c r="AC937" s="133"/>
      <c r="AD937" s="133"/>
      <c r="AE937" s="133"/>
      <c r="AF937" s="133"/>
    </row>
    <row r="938">
      <c r="A938" s="197"/>
      <c r="B938" s="133"/>
      <c r="C938" s="133"/>
      <c r="D938" s="197"/>
      <c r="E938" s="133"/>
      <c r="F938" s="198"/>
      <c r="G938" s="198"/>
      <c r="H938" s="200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  <c r="AA938" s="133"/>
      <c r="AB938" s="133"/>
      <c r="AC938" s="133"/>
      <c r="AD938" s="133"/>
      <c r="AE938" s="133"/>
      <c r="AF938" s="133"/>
    </row>
    <row r="939">
      <c r="A939" s="197"/>
      <c r="B939" s="133"/>
      <c r="C939" s="133"/>
      <c r="D939" s="197"/>
      <c r="E939" s="133"/>
      <c r="F939" s="198"/>
      <c r="G939" s="198"/>
      <c r="H939" s="200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  <c r="AA939" s="133"/>
      <c r="AB939" s="133"/>
      <c r="AC939" s="133"/>
      <c r="AD939" s="133"/>
      <c r="AE939" s="133"/>
      <c r="AF939" s="133"/>
    </row>
    <row r="940">
      <c r="A940" s="197"/>
      <c r="B940" s="133"/>
      <c r="C940" s="133"/>
      <c r="D940" s="197"/>
      <c r="E940" s="133"/>
      <c r="F940" s="198"/>
      <c r="G940" s="198"/>
      <c r="H940" s="200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  <c r="AA940" s="133"/>
      <c r="AB940" s="133"/>
      <c r="AC940" s="133"/>
      <c r="AD940" s="133"/>
      <c r="AE940" s="133"/>
      <c r="AF940" s="133"/>
    </row>
    <row r="941">
      <c r="A941" s="197"/>
      <c r="B941" s="133"/>
      <c r="C941" s="133"/>
      <c r="D941" s="197"/>
      <c r="E941" s="133"/>
      <c r="F941" s="198"/>
      <c r="G941" s="198"/>
      <c r="H941" s="200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  <c r="AA941" s="133"/>
      <c r="AB941" s="133"/>
      <c r="AC941" s="133"/>
      <c r="AD941" s="133"/>
      <c r="AE941" s="133"/>
      <c r="AF941" s="133"/>
    </row>
    <row r="942">
      <c r="A942" s="197"/>
      <c r="B942" s="133"/>
      <c r="C942" s="133"/>
      <c r="D942" s="197"/>
      <c r="E942" s="133"/>
      <c r="F942" s="198"/>
      <c r="G942" s="198"/>
      <c r="H942" s="200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  <c r="AA942" s="133"/>
      <c r="AB942" s="133"/>
      <c r="AC942" s="133"/>
      <c r="AD942" s="133"/>
      <c r="AE942" s="133"/>
      <c r="AF942" s="133"/>
    </row>
    <row r="943">
      <c r="A943" s="197"/>
      <c r="B943" s="133"/>
      <c r="C943" s="133"/>
      <c r="D943" s="197"/>
      <c r="E943" s="133"/>
      <c r="F943" s="198"/>
      <c r="G943" s="198"/>
      <c r="H943" s="200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  <c r="AA943" s="133"/>
      <c r="AB943" s="133"/>
      <c r="AC943" s="133"/>
      <c r="AD943" s="133"/>
      <c r="AE943" s="133"/>
      <c r="AF943" s="133"/>
    </row>
    <row r="944">
      <c r="A944" s="197"/>
      <c r="B944" s="133"/>
      <c r="C944" s="133"/>
      <c r="D944" s="197"/>
      <c r="E944" s="133"/>
      <c r="F944" s="198"/>
      <c r="G944" s="198"/>
      <c r="H944" s="200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  <c r="AA944" s="133"/>
      <c r="AB944" s="133"/>
      <c r="AC944" s="133"/>
      <c r="AD944" s="133"/>
      <c r="AE944" s="133"/>
      <c r="AF944" s="133"/>
    </row>
    <row r="945">
      <c r="A945" s="197"/>
      <c r="B945" s="133"/>
      <c r="C945" s="133"/>
      <c r="D945" s="197"/>
      <c r="E945" s="133"/>
      <c r="F945" s="198"/>
      <c r="G945" s="198"/>
      <c r="H945" s="200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  <c r="AA945" s="133"/>
      <c r="AB945" s="133"/>
      <c r="AC945" s="133"/>
      <c r="AD945" s="133"/>
      <c r="AE945" s="133"/>
      <c r="AF945" s="133"/>
    </row>
    <row r="946">
      <c r="A946" s="197"/>
      <c r="B946" s="133"/>
      <c r="C946" s="133"/>
      <c r="D946" s="197"/>
      <c r="E946" s="133"/>
      <c r="F946" s="198"/>
      <c r="G946" s="198"/>
      <c r="H946" s="200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  <c r="AA946" s="133"/>
      <c r="AB946" s="133"/>
      <c r="AC946" s="133"/>
      <c r="AD946" s="133"/>
      <c r="AE946" s="133"/>
      <c r="AF946" s="133"/>
    </row>
    <row r="947">
      <c r="A947" s="197"/>
      <c r="B947" s="133"/>
      <c r="C947" s="133"/>
      <c r="D947" s="197"/>
      <c r="E947" s="133"/>
      <c r="F947" s="198"/>
      <c r="G947" s="198"/>
      <c r="H947" s="200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  <c r="AA947" s="133"/>
      <c r="AB947" s="133"/>
      <c r="AC947" s="133"/>
      <c r="AD947" s="133"/>
      <c r="AE947" s="133"/>
      <c r="AF947" s="133"/>
    </row>
    <row r="948">
      <c r="A948" s="197"/>
      <c r="B948" s="133"/>
      <c r="C948" s="133"/>
      <c r="D948" s="197"/>
      <c r="E948" s="133"/>
      <c r="F948" s="198"/>
      <c r="G948" s="198"/>
      <c r="H948" s="200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  <c r="AA948" s="133"/>
      <c r="AB948" s="133"/>
      <c r="AC948" s="133"/>
      <c r="AD948" s="133"/>
      <c r="AE948" s="133"/>
      <c r="AF948" s="133"/>
    </row>
    <row r="949">
      <c r="A949" s="197"/>
      <c r="B949" s="133"/>
      <c r="C949" s="133"/>
      <c r="D949" s="197"/>
      <c r="E949" s="133"/>
      <c r="F949" s="198"/>
      <c r="G949" s="198"/>
      <c r="H949" s="200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  <c r="AA949" s="133"/>
      <c r="AB949" s="133"/>
      <c r="AC949" s="133"/>
      <c r="AD949" s="133"/>
      <c r="AE949" s="133"/>
      <c r="AF949" s="133"/>
    </row>
    <row r="950">
      <c r="A950" s="197"/>
      <c r="B950" s="133"/>
      <c r="C950" s="133"/>
      <c r="D950" s="197"/>
      <c r="E950" s="133"/>
      <c r="F950" s="198"/>
      <c r="G950" s="198"/>
      <c r="H950" s="200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  <c r="AA950" s="133"/>
      <c r="AB950" s="133"/>
      <c r="AC950" s="133"/>
      <c r="AD950" s="133"/>
      <c r="AE950" s="133"/>
      <c r="AF950" s="133"/>
    </row>
    <row r="951">
      <c r="A951" s="197"/>
      <c r="B951" s="133"/>
      <c r="C951" s="133"/>
      <c r="D951" s="197"/>
      <c r="E951" s="133"/>
      <c r="F951" s="198"/>
      <c r="G951" s="198"/>
      <c r="H951" s="200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  <c r="AA951" s="133"/>
      <c r="AB951" s="133"/>
      <c r="AC951" s="133"/>
      <c r="AD951" s="133"/>
      <c r="AE951" s="133"/>
      <c r="AF951" s="133"/>
    </row>
    <row r="952">
      <c r="A952" s="197"/>
      <c r="B952" s="133"/>
      <c r="C952" s="133"/>
      <c r="D952" s="197"/>
      <c r="E952" s="133"/>
      <c r="F952" s="198"/>
      <c r="G952" s="198"/>
      <c r="H952" s="200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  <c r="AA952" s="133"/>
      <c r="AB952" s="133"/>
      <c r="AC952" s="133"/>
      <c r="AD952" s="133"/>
      <c r="AE952" s="133"/>
      <c r="AF952" s="133"/>
    </row>
    <row r="953">
      <c r="A953" s="197"/>
      <c r="B953" s="133"/>
      <c r="C953" s="133"/>
      <c r="D953" s="197"/>
      <c r="E953" s="133"/>
      <c r="F953" s="198"/>
      <c r="G953" s="198"/>
      <c r="H953" s="200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  <c r="AA953" s="133"/>
      <c r="AB953" s="133"/>
      <c r="AC953" s="133"/>
      <c r="AD953" s="133"/>
      <c r="AE953" s="133"/>
      <c r="AF953" s="133"/>
    </row>
    <row r="954">
      <c r="A954" s="197"/>
      <c r="B954" s="133"/>
      <c r="C954" s="133"/>
      <c r="D954" s="197"/>
      <c r="E954" s="133"/>
      <c r="F954" s="198"/>
      <c r="G954" s="198"/>
      <c r="H954" s="200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  <c r="AA954" s="133"/>
      <c r="AB954" s="133"/>
      <c r="AC954" s="133"/>
      <c r="AD954" s="133"/>
      <c r="AE954" s="133"/>
      <c r="AF954" s="133"/>
    </row>
    <row r="955">
      <c r="A955" s="197"/>
      <c r="B955" s="133"/>
      <c r="C955" s="133"/>
      <c r="D955" s="197"/>
      <c r="E955" s="133"/>
      <c r="F955" s="198"/>
      <c r="G955" s="198"/>
      <c r="H955" s="200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  <c r="AA955" s="133"/>
      <c r="AB955" s="133"/>
      <c r="AC955" s="133"/>
      <c r="AD955" s="133"/>
      <c r="AE955" s="133"/>
      <c r="AF955" s="133"/>
    </row>
    <row r="956">
      <c r="A956" s="197"/>
      <c r="B956" s="133"/>
      <c r="C956" s="133"/>
      <c r="D956" s="197"/>
      <c r="E956" s="133"/>
      <c r="F956" s="198"/>
      <c r="G956" s="198"/>
      <c r="H956" s="200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  <c r="AA956" s="133"/>
      <c r="AB956" s="133"/>
      <c r="AC956" s="133"/>
      <c r="AD956" s="133"/>
      <c r="AE956" s="133"/>
      <c r="AF956" s="133"/>
    </row>
    <row r="957">
      <c r="A957" s="197"/>
      <c r="B957" s="133"/>
      <c r="C957" s="133"/>
      <c r="D957" s="197"/>
      <c r="E957" s="133"/>
      <c r="F957" s="198"/>
      <c r="G957" s="198"/>
      <c r="H957" s="200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  <c r="AA957" s="133"/>
      <c r="AB957" s="133"/>
      <c r="AC957" s="133"/>
      <c r="AD957" s="133"/>
      <c r="AE957" s="133"/>
      <c r="AF957" s="133"/>
    </row>
    <row r="958">
      <c r="A958" s="197"/>
      <c r="B958" s="133"/>
      <c r="C958" s="133"/>
      <c r="D958" s="197"/>
      <c r="E958" s="133"/>
      <c r="F958" s="198"/>
      <c r="G958" s="198"/>
      <c r="H958" s="200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  <c r="AA958" s="133"/>
      <c r="AB958" s="133"/>
      <c r="AC958" s="133"/>
      <c r="AD958" s="133"/>
      <c r="AE958" s="133"/>
      <c r="AF958" s="133"/>
    </row>
    <row r="959">
      <c r="A959" s="197"/>
      <c r="B959" s="133"/>
      <c r="C959" s="133"/>
      <c r="D959" s="197"/>
      <c r="E959" s="133"/>
      <c r="F959" s="198"/>
      <c r="G959" s="198"/>
      <c r="H959" s="200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  <c r="AA959" s="133"/>
      <c r="AB959" s="133"/>
      <c r="AC959" s="133"/>
      <c r="AD959" s="133"/>
      <c r="AE959" s="133"/>
      <c r="AF959" s="133"/>
    </row>
    <row r="960">
      <c r="A960" s="197"/>
      <c r="B960" s="133"/>
      <c r="C960" s="133"/>
      <c r="D960" s="197"/>
      <c r="E960" s="133"/>
      <c r="F960" s="198"/>
      <c r="G960" s="198"/>
      <c r="H960" s="200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  <c r="AA960" s="133"/>
      <c r="AB960" s="133"/>
      <c r="AC960" s="133"/>
      <c r="AD960" s="133"/>
      <c r="AE960" s="133"/>
      <c r="AF960" s="133"/>
    </row>
    <row r="961">
      <c r="A961" s="197"/>
      <c r="B961" s="133"/>
      <c r="C961" s="133"/>
      <c r="D961" s="197"/>
      <c r="E961" s="133"/>
      <c r="F961" s="198"/>
      <c r="G961" s="198"/>
      <c r="H961" s="200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  <c r="AA961" s="133"/>
      <c r="AB961" s="133"/>
      <c r="AC961" s="133"/>
      <c r="AD961" s="133"/>
      <c r="AE961" s="133"/>
      <c r="AF961" s="133"/>
    </row>
    <row r="962">
      <c r="A962" s="197"/>
      <c r="B962" s="133"/>
      <c r="C962" s="133"/>
      <c r="D962" s="197"/>
      <c r="E962" s="133"/>
      <c r="F962" s="198"/>
      <c r="G962" s="198"/>
      <c r="H962" s="200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  <c r="AA962" s="133"/>
      <c r="AB962" s="133"/>
      <c r="AC962" s="133"/>
      <c r="AD962" s="133"/>
      <c r="AE962" s="133"/>
      <c r="AF962" s="133"/>
    </row>
    <row r="963">
      <c r="A963" s="197"/>
      <c r="B963" s="133"/>
      <c r="C963" s="133"/>
      <c r="D963" s="197"/>
      <c r="E963" s="133"/>
      <c r="F963" s="198"/>
      <c r="G963" s="198"/>
      <c r="H963" s="200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  <c r="AA963" s="133"/>
      <c r="AB963" s="133"/>
      <c r="AC963" s="133"/>
      <c r="AD963" s="133"/>
      <c r="AE963" s="133"/>
      <c r="AF963" s="133"/>
    </row>
    <row r="964">
      <c r="A964" s="197"/>
      <c r="B964" s="133"/>
      <c r="C964" s="133"/>
      <c r="D964" s="197"/>
      <c r="E964" s="133"/>
      <c r="F964" s="198"/>
      <c r="G964" s="198"/>
      <c r="H964" s="200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  <c r="AA964" s="133"/>
      <c r="AB964" s="133"/>
      <c r="AC964" s="133"/>
      <c r="AD964" s="133"/>
      <c r="AE964" s="133"/>
      <c r="AF964" s="133"/>
    </row>
    <row r="965">
      <c r="A965" s="197"/>
      <c r="B965" s="133"/>
      <c r="C965" s="133"/>
      <c r="D965" s="197"/>
      <c r="E965" s="133"/>
      <c r="F965" s="198"/>
      <c r="G965" s="198"/>
      <c r="H965" s="200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  <c r="AA965" s="133"/>
      <c r="AB965" s="133"/>
      <c r="AC965" s="133"/>
      <c r="AD965" s="133"/>
      <c r="AE965" s="133"/>
      <c r="AF965" s="133"/>
    </row>
    <row r="966">
      <c r="A966" s="197"/>
      <c r="B966" s="133"/>
      <c r="C966" s="133"/>
      <c r="D966" s="197"/>
      <c r="E966" s="133"/>
      <c r="F966" s="198"/>
      <c r="G966" s="198"/>
      <c r="H966" s="200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  <c r="AA966" s="133"/>
      <c r="AB966" s="133"/>
      <c r="AC966" s="133"/>
      <c r="AD966" s="133"/>
      <c r="AE966" s="133"/>
      <c r="AF966" s="133"/>
    </row>
    <row r="967">
      <c r="A967" s="197"/>
      <c r="B967" s="133"/>
      <c r="C967" s="133"/>
      <c r="D967" s="197"/>
      <c r="E967" s="133"/>
      <c r="F967" s="198"/>
      <c r="G967" s="198"/>
      <c r="H967" s="200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  <c r="AA967" s="133"/>
      <c r="AB967" s="133"/>
      <c r="AC967" s="133"/>
      <c r="AD967" s="133"/>
      <c r="AE967" s="133"/>
      <c r="AF967" s="133"/>
    </row>
    <row r="968">
      <c r="A968" s="197"/>
      <c r="B968" s="133"/>
      <c r="C968" s="133"/>
      <c r="D968" s="197"/>
      <c r="E968" s="133"/>
      <c r="F968" s="198"/>
      <c r="G968" s="198"/>
      <c r="H968" s="200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  <c r="AA968" s="133"/>
      <c r="AB968" s="133"/>
      <c r="AC968" s="133"/>
      <c r="AD968" s="133"/>
      <c r="AE968" s="133"/>
      <c r="AF968" s="133"/>
    </row>
    <row r="969">
      <c r="A969" s="197"/>
      <c r="B969" s="133"/>
      <c r="C969" s="133"/>
      <c r="D969" s="197"/>
      <c r="E969" s="133"/>
      <c r="F969" s="198"/>
      <c r="G969" s="198"/>
      <c r="H969" s="200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  <c r="AA969" s="133"/>
      <c r="AB969" s="133"/>
      <c r="AC969" s="133"/>
      <c r="AD969" s="133"/>
      <c r="AE969" s="133"/>
      <c r="AF969" s="133"/>
    </row>
    <row r="970">
      <c r="A970" s="197"/>
      <c r="B970" s="133"/>
      <c r="C970" s="133"/>
      <c r="D970" s="197"/>
      <c r="E970" s="133"/>
      <c r="F970" s="198"/>
      <c r="G970" s="198"/>
      <c r="H970" s="200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  <c r="AA970" s="133"/>
      <c r="AB970" s="133"/>
      <c r="AC970" s="133"/>
      <c r="AD970" s="133"/>
      <c r="AE970" s="133"/>
      <c r="AF970" s="133"/>
    </row>
    <row r="971">
      <c r="A971" s="197"/>
      <c r="B971" s="133"/>
      <c r="C971" s="133"/>
      <c r="D971" s="197"/>
      <c r="E971" s="133"/>
      <c r="F971" s="198"/>
      <c r="G971" s="198"/>
      <c r="H971" s="200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  <c r="AA971" s="133"/>
      <c r="AB971" s="133"/>
      <c r="AC971" s="133"/>
      <c r="AD971" s="133"/>
      <c r="AE971" s="133"/>
      <c r="AF971" s="133"/>
    </row>
    <row r="972">
      <c r="A972" s="197"/>
      <c r="B972" s="133"/>
      <c r="C972" s="133"/>
      <c r="D972" s="197"/>
      <c r="E972" s="133"/>
      <c r="F972" s="198"/>
      <c r="G972" s="198"/>
      <c r="H972" s="200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  <c r="AA972" s="133"/>
      <c r="AB972" s="133"/>
      <c r="AC972" s="133"/>
      <c r="AD972" s="133"/>
      <c r="AE972" s="133"/>
      <c r="AF972" s="133"/>
    </row>
    <row r="973">
      <c r="A973" s="197"/>
      <c r="B973" s="133"/>
      <c r="C973" s="133"/>
      <c r="D973" s="197"/>
      <c r="E973" s="133"/>
      <c r="F973" s="198"/>
      <c r="G973" s="198"/>
      <c r="H973" s="200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  <c r="AA973" s="133"/>
      <c r="AB973" s="133"/>
      <c r="AC973" s="133"/>
      <c r="AD973" s="133"/>
      <c r="AE973" s="133"/>
      <c r="AF973" s="133"/>
    </row>
    <row r="974">
      <c r="A974" s="197"/>
      <c r="B974" s="133"/>
      <c r="C974" s="133"/>
      <c r="D974" s="197"/>
      <c r="E974" s="133"/>
      <c r="F974" s="198"/>
      <c r="G974" s="198"/>
      <c r="H974" s="200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  <c r="AA974" s="133"/>
      <c r="AB974" s="133"/>
      <c r="AC974" s="133"/>
      <c r="AD974" s="133"/>
      <c r="AE974" s="133"/>
      <c r="AF974" s="133"/>
    </row>
    <row r="975">
      <c r="A975" s="197"/>
      <c r="B975" s="133"/>
      <c r="C975" s="133"/>
      <c r="D975" s="197"/>
      <c r="E975" s="133"/>
      <c r="F975" s="198"/>
      <c r="G975" s="198"/>
      <c r="H975" s="200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  <c r="AA975" s="133"/>
      <c r="AB975" s="133"/>
      <c r="AC975" s="133"/>
      <c r="AD975" s="133"/>
      <c r="AE975" s="133"/>
      <c r="AF975" s="133"/>
    </row>
    <row r="976">
      <c r="A976" s="197"/>
      <c r="B976" s="133"/>
      <c r="C976" s="133"/>
      <c r="D976" s="197"/>
      <c r="E976" s="133"/>
      <c r="F976" s="198"/>
      <c r="G976" s="198"/>
      <c r="H976" s="200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  <c r="AA976" s="133"/>
      <c r="AB976" s="133"/>
      <c r="AC976" s="133"/>
      <c r="AD976" s="133"/>
      <c r="AE976" s="133"/>
      <c r="AF976" s="133"/>
    </row>
    <row r="977">
      <c r="A977" s="197"/>
      <c r="B977" s="133"/>
      <c r="C977" s="133"/>
      <c r="D977" s="197"/>
      <c r="E977" s="133"/>
      <c r="F977" s="198"/>
      <c r="G977" s="198"/>
      <c r="H977" s="200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  <c r="AA977" s="133"/>
      <c r="AB977" s="133"/>
      <c r="AC977" s="133"/>
      <c r="AD977" s="133"/>
      <c r="AE977" s="133"/>
      <c r="AF977" s="133"/>
    </row>
    <row r="978">
      <c r="A978" s="197"/>
      <c r="B978" s="133"/>
      <c r="C978" s="133"/>
      <c r="D978" s="197"/>
      <c r="E978" s="133"/>
      <c r="F978" s="198"/>
      <c r="G978" s="198"/>
      <c r="H978" s="200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  <c r="AA978" s="133"/>
      <c r="AB978" s="133"/>
      <c r="AC978" s="133"/>
      <c r="AD978" s="133"/>
      <c r="AE978" s="133"/>
      <c r="AF978" s="133"/>
    </row>
    <row r="979">
      <c r="A979" s="197"/>
      <c r="B979" s="133"/>
      <c r="C979" s="133"/>
      <c r="D979" s="197"/>
      <c r="E979" s="133"/>
      <c r="F979" s="198"/>
      <c r="G979" s="198"/>
      <c r="H979" s="200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  <c r="AA979" s="133"/>
      <c r="AB979" s="133"/>
      <c r="AC979" s="133"/>
      <c r="AD979" s="133"/>
      <c r="AE979" s="133"/>
      <c r="AF979" s="133"/>
    </row>
    <row r="980">
      <c r="A980" s="197"/>
      <c r="B980" s="133"/>
      <c r="C980" s="133"/>
      <c r="D980" s="197"/>
      <c r="E980" s="133"/>
      <c r="F980" s="198"/>
      <c r="G980" s="198"/>
      <c r="H980" s="200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  <c r="AA980" s="133"/>
      <c r="AB980" s="133"/>
      <c r="AC980" s="133"/>
      <c r="AD980" s="133"/>
      <c r="AE980" s="133"/>
      <c r="AF980" s="133"/>
    </row>
    <row r="981">
      <c r="A981" s="197"/>
      <c r="B981" s="133"/>
      <c r="C981" s="133"/>
      <c r="D981" s="197"/>
      <c r="E981" s="133"/>
      <c r="F981" s="198"/>
      <c r="G981" s="198"/>
      <c r="H981" s="200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  <c r="AA981" s="133"/>
      <c r="AB981" s="133"/>
      <c r="AC981" s="133"/>
      <c r="AD981" s="133"/>
      <c r="AE981" s="133"/>
      <c r="AF981" s="133"/>
    </row>
    <row r="982">
      <c r="A982" s="197"/>
      <c r="B982" s="133"/>
      <c r="C982" s="133"/>
      <c r="D982" s="197"/>
      <c r="E982" s="133"/>
      <c r="F982" s="198"/>
      <c r="G982" s="198"/>
      <c r="H982" s="200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  <c r="AA982" s="133"/>
      <c r="AB982" s="133"/>
      <c r="AC982" s="133"/>
      <c r="AD982" s="133"/>
      <c r="AE982" s="133"/>
      <c r="AF982" s="133"/>
    </row>
    <row r="983">
      <c r="A983" s="197"/>
      <c r="B983" s="133"/>
      <c r="C983" s="133"/>
      <c r="D983" s="197"/>
      <c r="E983" s="133"/>
      <c r="F983" s="198"/>
      <c r="G983" s="198"/>
      <c r="H983" s="200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  <c r="AA983" s="133"/>
      <c r="AB983" s="133"/>
      <c r="AC983" s="133"/>
      <c r="AD983" s="133"/>
      <c r="AE983" s="133"/>
      <c r="AF983" s="133"/>
    </row>
    <row r="984">
      <c r="A984" s="197"/>
      <c r="B984" s="133"/>
      <c r="C984" s="133"/>
      <c r="D984" s="197"/>
      <c r="E984" s="133"/>
      <c r="F984" s="198"/>
      <c r="G984" s="198"/>
      <c r="H984" s="200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  <c r="AA984" s="133"/>
      <c r="AB984" s="133"/>
      <c r="AC984" s="133"/>
      <c r="AD984" s="133"/>
      <c r="AE984" s="133"/>
      <c r="AF984" s="133"/>
    </row>
    <row r="985">
      <c r="A985" s="197"/>
      <c r="B985" s="133"/>
      <c r="C985" s="133"/>
      <c r="D985" s="197"/>
      <c r="E985" s="133"/>
      <c r="F985" s="198"/>
      <c r="G985" s="198"/>
      <c r="H985" s="200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  <c r="AA985" s="133"/>
      <c r="AB985" s="133"/>
      <c r="AC985" s="133"/>
      <c r="AD985" s="133"/>
      <c r="AE985" s="133"/>
      <c r="AF985" s="133"/>
    </row>
    <row r="986">
      <c r="A986" s="197"/>
      <c r="B986" s="133"/>
      <c r="C986" s="133"/>
      <c r="D986" s="197"/>
      <c r="E986" s="133"/>
      <c r="F986" s="198"/>
      <c r="G986" s="198"/>
      <c r="H986" s="200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  <c r="AA986" s="133"/>
      <c r="AB986" s="133"/>
      <c r="AC986" s="133"/>
      <c r="AD986" s="133"/>
      <c r="AE986" s="133"/>
      <c r="AF986" s="133"/>
    </row>
    <row r="987">
      <c r="A987" s="197"/>
      <c r="B987" s="133"/>
      <c r="C987" s="133"/>
      <c r="D987" s="197"/>
      <c r="E987" s="133"/>
      <c r="F987" s="198"/>
      <c r="G987" s="198"/>
      <c r="H987" s="200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  <c r="AA987" s="133"/>
      <c r="AB987" s="133"/>
      <c r="AC987" s="133"/>
      <c r="AD987" s="133"/>
      <c r="AE987" s="133"/>
      <c r="AF987" s="133"/>
    </row>
    <row r="988">
      <c r="A988" s="197"/>
      <c r="B988" s="133"/>
      <c r="C988" s="133"/>
      <c r="D988" s="197"/>
      <c r="E988" s="133"/>
      <c r="F988" s="198"/>
      <c r="G988" s="198"/>
      <c r="H988" s="200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  <c r="AA988" s="133"/>
      <c r="AB988" s="133"/>
      <c r="AC988" s="133"/>
      <c r="AD988" s="133"/>
      <c r="AE988" s="133"/>
      <c r="AF988" s="133"/>
    </row>
    <row r="989">
      <c r="A989" s="197"/>
      <c r="B989" s="133"/>
      <c r="C989" s="133"/>
      <c r="D989" s="197"/>
      <c r="E989" s="133"/>
      <c r="F989" s="198"/>
      <c r="G989" s="198"/>
      <c r="H989" s="200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  <c r="AA989" s="133"/>
      <c r="AB989" s="133"/>
      <c r="AC989" s="133"/>
      <c r="AD989" s="133"/>
      <c r="AE989" s="133"/>
      <c r="AF989" s="133"/>
    </row>
    <row r="990">
      <c r="A990" s="197"/>
      <c r="B990" s="133"/>
      <c r="C990" s="133"/>
      <c r="D990" s="197"/>
      <c r="E990" s="133"/>
      <c r="F990" s="198"/>
      <c r="G990" s="198"/>
      <c r="H990" s="200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  <c r="AA990" s="133"/>
      <c r="AB990" s="133"/>
      <c r="AC990" s="133"/>
      <c r="AD990" s="133"/>
      <c r="AE990" s="133"/>
      <c r="AF990" s="133"/>
    </row>
    <row r="991">
      <c r="A991" s="197"/>
      <c r="B991" s="133"/>
      <c r="C991" s="133"/>
      <c r="D991" s="197"/>
      <c r="E991" s="133"/>
      <c r="F991" s="198"/>
      <c r="G991" s="198"/>
      <c r="H991" s="200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  <c r="AA991" s="133"/>
      <c r="AB991" s="133"/>
      <c r="AC991" s="133"/>
      <c r="AD991" s="133"/>
      <c r="AE991" s="133"/>
      <c r="AF991" s="133"/>
    </row>
    <row r="992">
      <c r="A992" s="197"/>
      <c r="B992" s="133"/>
      <c r="C992" s="133"/>
      <c r="D992" s="197"/>
      <c r="E992" s="133"/>
      <c r="F992" s="198"/>
      <c r="G992" s="198"/>
      <c r="H992" s="200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  <c r="AA992" s="133"/>
      <c r="AB992" s="133"/>
      <c r="AC992" s="133"/>
      <c r="AD992" s="133"/>
      <c r="AE992" s="133"/>
      <c r="AF992" s="133"/>
    </row>
    <row r="993">
      <c r="A993" s="197"/>
      <c r="B993" s="133"/>
      <c r="C993" s="133"/>
      <c r="D993" s="197"/>
      <c r="E993" s="133"/>
      <c r="F993" s="198"/>
      <c r="G993" s="198"/>
      <c r="H993" s="200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  <c r="AA993" s="133"/>
      <c r="AB993" s="133"/>
      <c r="AC993" s="133"/>
      <c r="AD993" s="133"/>
      <c r="AE993" s="133"/>
      <c r="AF993" s="133"/>
    </row>
    <row r="994">
      <c r="A994" s="197"/>
      <c r="B994" s="133"/>
      <c r="C994" s="133"/>
      <c r="D994" s="197"/>
      <c r="E994" s="133"/>
      <c r="F994" s="198"/>
      <c r="G994" s="198"/>
      <c r="H994" s="200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  <c r="AA994" s="133"/>
      <c r="AB994" s="133"/>
      <c r="AC994" s="133"/>
      <c r="AD994" s="133"/>
      <c r="AE994" s="133"/>
      <c r="AF994" s="133"/>
    </row>
    <row r="995">
      <c r="A995" s="197"/>
      <c r="B995" s="133"/>
      <c r="C995" s="133"/>
      <c r="D995" s="197"/>
      <c r="E995" s="133"/>
      <c r="F995" s="198"/>
      <c r="G995" s="198"/>
      <c r="H995" s="200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  <c r="AA995" s="133"/>
      <c r="AB995" s="133"/>
      <c r="AC995" s="133"/>
      <c r="AD995" s="133"/>
      <c r="AE995" s="133"/>
      <c r="AF995" s="133"/>
    </row>
    <row r="996">
      <c r="A996" s="197"/>
      <c r="B996" s="133"/>
      <c r="C996" s="133"/>
      <c r="D996" s="197"/>
      <c r="E996" s="133"/>
      <c r="F996" s="198"/>
      <c r="G996" s="198"/>
      <c r="H996" s="200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  <c r="AA996" s="133"/>
      <c r="AB996" s="133"/>
      <c r="AC996" s="133"/>
      <c r="AD996" s="133"/>
      <c r="AE996" s="133"/>
      <c r="AF996" s="133"/>
    </row>
    <row r="997">
      <c r="A997" s="197"/>
      <c r="B997" s="133"/>
      <c r="C997" s="133"/>
      <c r="D997" s="197"/>
      <c r="E997" s="133"/>
      <c r="F997" s="198"/>
      <c r="G997" s="198"/>
      <c r="H997" s="200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  <c r="AA997" s="133"/>
      <c r="AB997" s="133"/>
      <c r="AC997" s="133"/>
      <c r="AD997" s="133"/>
      <c r="AE997" s="133"/>
      <c r="AF997" s="133"/>
    </row>
    <row r="998">
      <c r="A998" s="197"/>
      <c r="B998" s="133"/>
      <c r="C998" s="133"/>
      <c r="D998" s="197"/>
      <c r="E998" s="133"/>
      <c r="F998" s="198"/>
      <c r="G998" s="198"/>
      <c r="H998" s="200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  <c r="AA998" s="133"/>
      <c r="AB998" s="133"/>
      <c r="AC998" s="133"/>
      <c r="AD998" s="133"/>
      <c r="AE998" s="133"/>
      <c r="AF998" s="133"/>
    </row>
    <row r="999">
      <c r="A999" s="197"/>
      <c r="B999" s="133"/>
      <c r="C999" s="133"/>
      <c r="D999" s="197"/>
      <c r="E999" s="133"/>
      <c r="F999" s="198"/>
      <c r="G999" s="198"/>
      <c r="H999" s="200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  <c r="AA999" s="133"/>
      <c r="AB999" s="133"/>
      <c r="AC999" s="133"/>
      <c r="AD999" s="133"/>
      <c r="AE999" s="133"/>
      <c r="AF999" s="133"/>
    </row>
    <row r="1000">
      <c r="A1000" s="197"/>
      <c r="B1000" s="133"/>
      <c r="C1000" s="133"/>
      <c r="D1000" s="197"/>
      <c r="E1000" s="133"/>
      <c r="F1000" s="198"/>
      <c r="G1000" s="198"/>
      <c r="H1000" s="200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  <c r="AA1000" s="133"/>
      <c r="AB1000" s="133"/>
      <c r="AC1000" s="133"/>
      <c r="AD1000" s="133"/>
      <c r="AE1000" s="133"/>
      <c r="AF1000" s="133"/>
    </row>
    <row r="1001">
      <c r="A1001" s="197"/>
      <c r="B1001" s="133"/>
      <c r="C1001" s="133"/>
      <c r="D1001" s="197"/>
      <c r="E1001" s="133"/>
      <c r="F1001" s="198"/>
      <c r="G1001" s="198"/>
      <c r="H1001" s="200"/>
      <c r="I1001" s="133"/>
      <c r="J1001" s="133"/>
      <c r="K1001" s="133"/>
      <c r="L1001" s="133"/>
      <c r="M1001" s="133"/>
      <c r="N1001" s="133"/>
      <c r="O1001" s="133"/>
      <c r="P1001" s="133"/>
      <c r="Q1001" s="133"/>
      <c r="R1001" s="133"/>
      <c r="S1001" s="133"/>
      <c r="T1001" s="133"/>
      <c r="U1001" s="133"/>
      <c r="V1001" s="133"/>
      <c r="W1001" s="133"/>
      <c r="X1001" s="133"/>
      <c r="Y1001" s="133"/>
      <c r="Z1001" s="133"/>
      <c r="AA1001" s="133"/>
      <c r="AB1001" s="133"/>
      <c r="AC1001" s="133"/>
      <c r="AD1001" s="133"/>
      <c r="AE1001" s="133"/>
      <c r="AF1001" s="133"/>
    </row>
    <row r="1002">
      <c r="A1002" s="197"/>
      <c r="B1002" s="133"/>
      <c r="C1002" s="133"/>
      <c r="D1002" s="197"/>
      <c r="E1002" s="133"/>
      <c r="F1002" s="198"/>
      <c r="G1002" s="198"/>
      <c r="H1002" s="200"/>
      <c r="I1002" s="133"/>
      <c r="J1002" s="133"/>
      <c r="K1002" s="133"/>
      <c r="L1002" s="133"/>
      <c r="M1002" s="133"/>
      <c r="N1002" s="133"/>
      <c r="O1002" s="133"/>
      <c r="P1002" s="133"/>
      <c r="Q1002" s="133"/>
      <c r="R1002" s="133"/>
      <c r="S1002" s="133"/>
      <c r="T1002" s="133"/>
      <c r="U1002" s="133"/>
      <c r="V1002" s="133"/>
      <c r="W1002" s="133"/>
      <c r="X1002" s="133"/>
      <c r="Y1002" s="133"/>
      <c r="Z1002" s="133"/>
      <c r="AA1002" s="133"/>
      <c r="AB1002" s="133"/>
      <c r="AC1002" s="133"/>
      <c r="AD1002" s="133"/>
      <c r="AE1002" s="133"/>
      <c r="AF1002" s="133"/>
    </row>
  </sheetData>
  <autoFilter ref="$B$11:$B$1002"/>
  <mergeCells count="23">
    <mergeCell ref="C12:D12"/>
    <mergeCell ref="C21:D21"/>
    <mergeCell ref="C28:D28"/>
    <mergeCell ref="C33:D33"/>
    <mergeCell ref="C37:D37"/>
    <mergeCell ref="C43:D43"/>
    <mergeCell ref="C46:D46"/>
    <mergeCell ref="C50:D50"/>
    <mergeCell ref="C53:D53"/>
    <mergeCell ref="C55:D55"/>
    <mergeCell ref="C65:D65"/>
    <mergeCell ref="C69:D69"/>
    <mergeCell ref="C73:D73"/>
    <mergeCell ref="C76:D76"/>
    <mergeCell ref="C99:D99"/>
    <mergeCell ref="C111:D111"/>
    <mergeCell ref="C82:D82"/>
    <mergeCell ref="C90:D90"/>
    <mergeCell ref="F91:F94"/>
    <mergeCell ref="G91:G94"/>
    <mergeCell ref="C96:D96"/>
    <mergeCell ref="F105:F107"/>
    <mergeCell ref="G105:G107"/>
  </mergeCells>
  <dataValidations>
    <dataValidation type="list" allowBlank="1" showErrorMessage="1" sqref="A5:A10 E5:E10 A12:A62 A65:A110 A112:A194">
      <formula1>"1,2,3,4,5,6,7,8,9,10,11,12"</formula1>
    </dataValidation>
    <dataValidation type="list" allowBlank="1" showErrorMessage="1" sqref="B68 B73 B102:B103 B118:B171">
      <formula1>"UX/UI дизайнер,Frontend,Backend,Smart contract,QA"</formula1>
    </dataValidation>
    <dataValidation type="list" allowBlank="1" showErrorMessage="1" sqref="B12:B62 B65:B67 B69:B72 B74:B97 B100:B101 B104:B110 B112:B117">
      <formula1>"Аналитик,Frontend,Backend,Smart contract,QA,DevOps"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3.88"/>
    <col customWidth="1" min="2" max="2" width="28.75"/>
    <col customWidth="1" min="3" max="3" width="14.63"/>
    <col customWidth="1" min="6" max="6" width="2.63"/>
    <col customWidth="1" min="7" max="7" width="20.75"/>
    <col customWidth="1" min="8" max="8" width="15.13"/>
    <col customWidth="1" min="9" max="9" width="14.13"/>
    <col customWidth="1" min="10" max="10" width="18.38"/>
    <col customWidth="1" min="15" max="15" width="16.0"/>
  </cols>
  <sheetData>
    <row r="1" collapsed="1">
      <c r="A1" s="112" t="s">
        <v>163</v>
      </c>
      <c r="C1" s="201"/>
      <c r="D1" s="202" t="s">
        <v>223</v>
      </c>
      <c r="E1" s="203"/>
      <c r="F1" s="203"/>
      <c r="G1" s="203"/>
      <c r="H1" s="204"/>
    </row>
    <row r="2" hidden="1" outlineLevel="1">
      <c r="A2" s="112" t="s">
        <v>224</v>
      </c>
    </row>
    <row r="3">
      <c r="B3" s="205"/>
    </row>
    <row r="4">
      <c r="B4" s="206" t="s">
        <v>168</v>
      </c>
      <c r="C4" s="207" t="s">
        <v>225</v>
      </c>
      <c r="D4" s="208" t="s">
        <v>226</v>
      </c>
      <c r="E4" s="209" t="s">
        <v>227</v>
      </c>
      <c r="G4" s="210" t="s">
        <v>168</v>
      </c>
      <c r="H4" s="211" t="s">
        <v>225</v>
      </c>
      <c r="I4" s="212" t="s">
        <v>169</v>
      </c>
      <c r="J4" s="209" t="s">
        <v>172</v>
      </c>
    </row>
    <row r="5">
      <c r="B5" s="213" t="s">
        <v>228</v>
      </c>
      <c r="C5" s="213" t="s">
        <v>228</v>
      </c>
      <c r="D5" s="214">
        <v>0.0</v>
      </c>
      <c r="E5" s="215" t="str">
        <f>'Sales (Итоги оценки)'!K6</f>
        <v/>
      </c>
      <c r="G5" s="213" t="s">
        <v>229</v>
      </c>
      <c r="H5" s="213" t="s">
        <v>229</v>
      </c>
      <c r="I5" s="198">
        <f>SUM(I7:I18)*C24/100</f>
        <v>0</v>
      </c>
      <c r="J5" s="92">
        <f t="shared" ref="J5:J18" si="1">I5*5*8*D5</f>
        <v>0</v>
      </c>
    </row>
    <row r="6">
      <c r="B6" s="216" t="s">
        <v>13</v>
      </c>
      <c r="C6" s="216" t="s">
        <v>13</v>
      </c>
      <c r="D6" s="214">
        <v>15.0</v>
      </c>
      <c r="E6" s="215">
        <f>'Sales (Итоги оценки)'!K7</f>
        <v>30</v>
      </c>
      <c r="G6" s="216" t="s">
        <v>230</v>
      </c>
      <c r="H6" s="216" t="s">
        <v>230</v>
      </c>
      <c r="I6" s="198">
        <f>MAX(I7:I18)*(C27/100)</f>
        <v>3.816</v>
      </c>
      <c r="J6" s="92">
        <f t="shared" si="1"/>
        <v>2289.6</v>
      </c>
    </row>
    <row r="7">
      <c r="B7" s="217" t="s">
        <v>14</v>
      </c>
      <c r="C7" s="116">
        <v>1.0</v>
      </c>
      <c r="D7" s="214">
        <v>25.0</v>
      </c>
      <c r="E7" s="215">
        <f>'Sales (Итоги оценки)'!K8</f>
        <v>50</v>
      </c>
      <c r="G7" s="218" t="str">
        <f t="shared" ref="G7:G18" si="2">B7</f>
        <v>DevOps</v>
      </c>
      <c r="H7" s="219">
        <v>1.0</v>
      </c>
      <c r="I7" s="198">
        <f>AVERAGE((('Оценка'!B5 + 4*AVERAGE('Оценка'!B5:C5) + 'Оценка'!C5)/6 - 2*(('Оценка'!C5 - 'Оценка'!B5)/6))/5 , (('Оценка'!B5 + 4*AVERAGE('Оценка'!B5:C5) + 'Оценка'!C5)/6 + 2*(('Оценка'!C5 - 'Оценка'!B5)/6))/5)*(((($C$22/8+$C$23/40)+$C$21/100+$C$25/100+$C$26/100)+1
))</f>
        <v>4.4</v>
      </c>
      <c r="J7" s="92">
        <f t="shared" si="1"/>
        <v>4400</v>
      </c>
    </row>
    <row r="8">
      <c r="B8" s="217" t="s">
        <v>10</v>
      </c>
      <c r="C8" s="116">
        <v>2.0</v>
      </c>
      <c r="D8" s="214">
        <v>30.0</v>
      </c>
      <c r="E8" s="215">
        <f>'Sales (Итоги оценки)'!K9</f>
        <v>50</v>
      </c>
      <c r="G8" s="220" t="str">
        <f t="shared" si="2"/>
        <v>Smart contract</v>
      </c>
      <c r="H8" s="113">
        <v>2.0</v>
      </c>
      <c r="I8" s="198">
        <f>AVERAGE((('Оценка'!B6 + 4*AVERAGE('Оценка'!B6:C6) + 'Оценка'!C6)/6 - 2*(('Оценка'!C6 - 'Оценка'!B6)/6))/5 , (('Оценка'!B6 + 4*AVERAGE('Оценка'!B6:C6) + 'Оценка'!C6)/6 + 2*(('Оценка'!C6 - 'Оценка'!B6)/6))/5)*(((($C$22/8+$C$23/40)+$C$21/100+$C$25/100+$C$26/100)+1
))</f>
        <v>2.96</v>
      </c>
      <c r="J8" s="92">
        <f t="shared" si="1"/>
        <v>3552</v>
      </c>
    </row>
    <row r="9">
      <c r="B9" s="217" t="s">
        <v>11</v>
      </c>
      <c r="C9" s="116">
        <v>3.0</v>
      </c>
      <c r="D9" s="214">
        <v>31.0</v>
      </c>
      <c r="E9" s="215">
        <f>'Sales (Итоги оценки)'!K10</f>
        <v>51.66666667</v>
      </c>
      <c r="G9" s="220" t="str">
        <f t="shared" si="2"/>
        <v>Backend</v>
      </c>
      <c r="H9" s="113">
        <v>3.0</v>
      </c>
      <c r="I9" s="198">
        <f>AVERAGE((('Оценка'!B7 + 4*AVERAGE('Оценка'!B7:C7) + 'Оценка'!C7)/6 - 2*(('Оценка'!C7 - 'Оценка'!B7)/6))/5 , (('Оценка'!B7 + 4*AVERAGE('Оценка'!B7:C7) + 'Оценка'!C7)/6 + 2*(('Оценка'!C7 - 'Оценка'!B7)/6))/5)*(((($C$22/8+$C$23/40)+$C$21/100+$C$25/100+$C$26/100)+1
))</f>
        <v>10.16</v>
      </c>
      <c r="J9" s="92">
        <f t="shared" si="1"/>
        <v>12598.4</v>
      </c>
    </row>
    <row r="10">
      <c r="B10" s="217" t="s">
        <v>11</v>
      </c>
      <c r="C10" s="116">
        <v>4.0</v>
      </c>
      <c r="D10" s="214">
        <v>21.0</v>
      </c>
      <c r="E10" s="215">
        <f>'Sales (Итоги оценки)'!K11</f>
        <v>42</v>
      </c>
      <c r="G10" s="220" t="str">
        <f t="shared" si="2"/>
        <v>Backend</v>
      </c>
      <c r="H10" s="113">
        <v>4.0</v>
      </c>
      <c r="I10" s="198">
        <f>AVERAGE((('Оценка'!B8 + 4*AVERAGE('Оценка'!B8:C8) + 'Оценка'!C8)/6 - 2*(('Оценка'!C8 - 'Оценка'!B8)/6))/5 , (('Оценка'!B8 + 4*AVERAGE('Оценка'!B8:C8) + 'Оценка'!C8)/6 + 2*(('Оценка'!C8 - 'Оценка'!B8)/6))/5)*(((($C$22/8+$C$23/40)+$C$21/100+$C$25/100+$C$26/100)+1
))</f>
        <v>10.88</v>
      </c>
      <c r="J10" s="92">
        <f t="shared" si="1"/>
        <v>9139.2</v>
      </c>
    </row>
    <row r="11">
      <c r="B11" s="217" t="s">
        <v>12</v>
      </c>
      <c r="C11" s="116">
        <v>5.0</v>
      </c>
      <c r="D11" s="214">
        <v>20.0</v>
      </c>
      <c r="E11" s="215">
        <f>'Sales (Итоги оценки)'!K12</f>
        <v>40</v>
      </c>
      <c r="G11" s="220" t="str">
        <f t="shared" si="2"/>
        <v>Frontend</v>
      </c>
      <c r="H11" s="113">
        <v>5.0</v>
      </c>
      <c r="I11" s="198">
        <f>AVERAGE((('Оценка'!B9 + 4*AVERAGE('Оценка'!B9:C9) + 'Оценка'!C9)/6 - 2*(('Оценка'!C9 - 'Оценка'!B9)/6))/5 , (('Оценка'!B9 + 4*AVERAGE('Оценка'!B9:C9) + 'Оценка'!C9)/6 + 2*(('Оценка'!C9 - 'Оценка'!B9)/6))/5)*(((($C$22/8+$C$23/40)+$C$21/100+$C$25/100+$C$26/100)+1
))</f>
        <v>12.72</v>
      </c>
      <c r="J11" s="92">
        <f t="shared" si="1"/>
        <v>10176</v>
      </c>
    </row>
    <row r="12">
      <c r="B12" s="217" t="s">
        <v>16</v>
      </c>
      <c r="C12" s="116">
        <v>6.0</v>
      </c>
      <c r="D12" s="214">
        <v>15.0</v>
      </c>
      <c r="E12" s="215">
        <f>'Sales (Итоги оценки)'!K13</f>
        <v>30</v>
      </c>
      <c r="G12" s="220" t="str">
        <f t="shared" si="2"/>
        <v>QA</v>
      </c>
      <c r="H12" s="113">
        <v>6.0</v>
      </c>
      <c r="I12" s="198">
        <f>AVERAGE((('Оценка'!B10 + 4*AVERAGE('Оценка'!B10:C10) + 'Оценка'!C10)/6 - 2*(('Оценка'!C10 - 'Оценка'!B10)/6))/5 , (('Оценка'!B10 + 4*AVERAGE('Оценка'!B10:C10) + 'Оценка'!C10)/6 + 2*(('Оценка'!C10 - 'Оценка'!B10)/6))/5)*(((($C$22/8+$C$23/40)+$C$21/100+$C$25/100+$C$26/100)+1
))</f>
        <v>4.8</v>
      </c>
      <c r="J12" s="92">
        <f t="shared" si="1"/>
        <v>2880</v>
      </c>
    </row>
    <row r="13">
      <c r="B13" s="217" t="s">
        <v>161</v>
      </c>
      <c r="C13" s="116">
        <v>7.0</v>
      </c>
      <c r="D13" s="214">
        <v>20.0</v>
      </c>
      <c r="E13" s="215">
        <f>'Sales (Итоги оценки)'!K14</f>
        <v>40</v>
      </c>
      <c r="G13" s="220" t="str">
        <f t="shared" si="2"/>
        <v>UX/UI дизайнер</v>
      </c>
      <c r="H13" s="116">
        <v>7.0</v>
      </c>
      <c r="I13" s="198">
        <f>AVERAGE((('Оценка'!F5 + 4*AVERAGE('Оценка'!F5:G5) + 'Оценка'!G5)/6 - 2*(('Оценка'!G5 - 'Оценка'!F5)/6))/5 , (('Оценка'!F5 + 4*AVERAGE('Оценка'!F5:G5) + 'Оценка'!G5)/6 + 2*(('Оценка'!G5 - 'Оценка'!F5)/6))/5)*(((($C$22/8+$C$23/40)+$C$21/100+$C$25/100+$C$26/100)+1
))</f>
        <v>4.8</v>
      </c>
      <c r="J13" s="92">
        <f t="shared" si="1"/>
        <v>3840</v>
      </c>
    </row>
    <row r="14">
      <c r="B14" s="217"/>
      <c r="C14" s="116"/>
      <c r="D14" s="214"/>
      <c r="E14" s="221"/>
      <c r="G14" s="220" t="str">
        <f t="shared" si="2"/>
        <v/>
      </c>
      <c r="H14" s="116">
        <v>8.0</v>
      </c>
      <c r="I14" s="198">
        <f>AVERAGE((('Оценка'!F6 + 4*AVERAGE('Оценка'!F6:G6) + 'Оценка'!G6)/6 - 2*(('Оценка'!G6 - 'Оценка'!F6)/6))/5 , (('Оценка'!F6 + 4*AVERAGE('Оценка'!F6:G6) + 'Оценка'!G6)/6 + 2*(('Оценка'!G6 - 'Оценка'!F6)/6))/5)*(((($C$22/8+$C$23/40)+$C$21/100+$C$25/100+$C$26/100)+1
))</f>
        <v>0</v>
      </c>
      <c r="J14" s="92">
        <f t="shared" si="1"/>
        <v>0</v>
      </c>
    </row>
    <row r="15">
      <c r="B15" s="217"/>
      <c r="C15" s="116"/>
      <c r="D15" s="214"/>
      <c r="E15" s="221"/>
      <c r="G15" s="220" t="str">
        <f t="shared" si="2"/>
        <v/>
      </c>
      <c r="H15" s="116">
        <v>9.0</v>
      </c>
      <c r="I15" s="198">
        <f>AVERAGE((('Оценка'!F7 + 4*AVERAGE('Оценка'!F7:G7) + 'Оценка'!G7)/6 - 2*(('Оценка'!G7 - 'Оценка'!F7)/6))/5 , (('Оценка'!F7 + 4*AVERAGE('Оценка'!F7:G7) + 'Оценка'!G7)/6 + 2*(('Оценка'!G7 - 'Оценка'!F7)/6))/5)*(((($C$22/8+$C$23/40)+$C$21/100+$C$25/100+$C$26/100)+1
))</f>
        <v>0</v>
      </c>
      <c r="J15" s="92">
        <f t="shared" si="1"/>
        <v>0</v>
      </c>
    </row>
    <row r="16">
      <c r="B16" s="217"/>
      <c r="C16" s="116"/>
      <c r="D16" s="214"/>
      <c r="E16" s="221"/>
      <c r="G16" s="220" t="str">
        <f t="shared" si="2"/>
        <v/>
      </c>
      <c r="H16" s="116">
        <v>10.0</v>
      </c>
      <c r="I16" s="198">
        <f>AVERAGE((('Оценка'!F8 + 4*AVERAGE('Оценка'!F8:G8) + 'Оценка'!G8)/6 - 2*(('Оценка'!G8 - 'Оценка'!F8)/6))/5 , (('Оценка'!F8 + 4*AVERAGE('Оценка'!F8:G8) + 'Оценка'!G8)/6 + 2*(('Оценка'!G8 - 'Оценка'!F8)/6))/5)*(((($C$22/8+$C$23/40)+$C$21/100+$C$25/100+$C$26/100)+1
))</f>
        <v>0</v>
      </c>
      <c r="J16" s="92">
        <f t="shared" si="1"/>
        <v>0</v>
      </c>
    </row>
    <row r="17">
      <c r="B17" s="217"/>
      <c r="C17" s="116"/>
      <c r="D17" s="214"/>
      <c r="E17" s="221"/>
      <c r="G17" s="220" t="str">
        <f t="shared" si="2"/>
        <v/>
      </c>
      <c r="H17" s="116">
        <v>11.0</v>
      </c>
      <c r="I17" s="198">
        <f>AVERAGE((('Оценка'!F9 + 4*AVERAGE('Оценка'!F9:G9) + 'Оценка'!G9)/6 - 2*(('Оценка'!G9 - 'Оценка'!F9)/6))/5 , (('Оценка'!F9 + 4*AVERAGE('Оценка'!F9:G9) + 'Оценка'!G9)/6 + 2*(('Оценка'!G9 - 'Оценка'!F9)/6))/5)*(((($C$22/8+$C$23/40)+$C$21/100+$C$25/100+$C$26/100)+1
))</f>
        <v>0</v>
      </c>
      <c r="J17" s="92">
        <f t="shared" si="1"/>
        <v>0</v>
      </c>
    </row>
    <row r="18">
      <c r="B18" s="222"/>
      <c r="C18" s="223"/>
      <c r="D18" s="224"/>
      <c r="E18" s="225"/>
      <c r="G18" s="226" t="str">
        <f t="shared" si="2"/>
        <v/>
      </c>
      <c r="H18" s="223">
        <v>12.0</v>
      </c>
      <c r="I18" s="227">
        <f>AVERAGE((('Оценка'!F10 + 4*AVERAGE('Оценка'!F10:G10) + 'Оценка'!G10)/6 - 2*(('Оценка'!G10 - 'Оценка'!F10)/6))/5 , (('Оценка'!F10 + 4*AVERAGE('Оценка'!F10:G10) + 'Оценка'!G10)/6 + 2*(('Оценка'!G10 - 'Оценка'!F10)/6))/5)*(((($C$22/8+$C$23/40)+$C$21/100+$C$25/100+$C$26/100)+1
))</f>
        <v>0</v>
      </c>
      <c r="J18" s="228">
        <f t="shared" si="1"/>
        <v>0</v>
      </c>
    </row>
    <row r="20">
      <c r="B20" s="229"/>
      <c r="C20" s="230" t="s">
        <v>231</v>
      </c>
      <c r="D20" s="231" t="s">
        <v>232</v>
      </c>
      <c r="E20" s="232"/>
      <c r="G20" s="233" t="s">
        <v>172</v>
      </c>
      <c r="H20" s="234"/>
      <c r="I20" s="234"/>
      <c r="J20" s="79"/>
    </row>
    <row r="21">
      <c r="B21" s="235" t="s">
        <v>233</v>
      </c>
      <c r="C21" s="236">
        <v>20.0</v>
      </c>
      <c r="D21" s="92">
        <f>(SUM(I7:I18)/((((C22/8+C23/40)+C21/100+C25/100+C26/100)+1
))*$C$21/100)</f>
        <v>6.34</v>
      </c>
      <c r="E21" s="75"/>
      <c r="G21" s="237" t="s">
        <v>234</v>
      </c>
      <c r="H21" s="144">
        <f>(D5*I5+D6*I6+D7*I7+D8*I8+D9*I9+D10*I10+D11*I11+D12*I12+D13*I13+D14*I14+D15*I15+D16*I16+D17*I17+D18*I18)*5*8</f>
        <v>48875.2</v>
      </c>
      <c r="J21" s="188"/>
    </row>
    <row r="22">
      <c r="B22" s="235" t="s">
        <v>235</v>
      </c>
      <c r="C22" s="238">
        <v>1.0</v>
      </c>
      <c r="D22" s="92">
        <f>(SUM(I7:I18)/((((C22/8+C23/40)+C21/100+C25/100+C26/100)+1
))*C22/8)</f>
        <v>3.9625</v>
      </c>
      <c r="E22" s="75"/>
      <c r="G22" s="239"/>
      <c r="H22" s="240"/>
      <c r="I22" s="240"/>
      <c r="J22" s="241"/>
    </row>
    <row r="23">
      <c r="B23" s="235" t="s">
        <v>236</v>
      </c>
      <c r="C23" s="236">
        <v>3.0</v>
      </c>
      <c r="D23" s="92">
        <f>(SUM(I7:I18)/((((C22/8+C23/40)+C21/100+C25/100+C26/100)+1
))*C23/40)</f>
        <v>2.3775</v>
      </c>
      <c r="E23" s="75"/>
    </row>
    <row r="24">
      <c r="B24" s="242" t="s">
        <v>237</v>
      </c>
      <c r="C24" s="236">
        <v>0.0</v>
      </c>
      <c r="D24" s="92">
        <f>SUM(I7:I18)/((((C22/8+C23/40)+C21/100+C25/100+C26/100)+1
))*C24/100</f>
        <v>0</v>
      </c>
      <c r="E24" s="75"/>
    </row>
    <row r="25">
      <c r="B25" s="243" t="s">
        <v>238</v>
      </c>
      <c r="C25" s="244">
        <v>20.0</v>
      </c>
      <c r="D25" s="92">
        <f>SUM(I6:I18)/((((C22/8+C23/40)+C21/100+C25/100+C26/100)+1
))*C25/100</f>
        <v>6.817</v>
      </c>
      <c r="E25" s="75"/>
    </row>
    <row r="26">
      <c r="B26" s="245" t="s">
        <v>14</v>
      </c>
      <c r="C26" s="244">
        <v>0.0</v>
      </c>
      <c r="D26" s="92">
        <f>SUM(I7:I18)/((((C22/8+C23/40)+C21/100+C25/100+C26/100)+1
))*C26/100</f>
        <v>0</v>
      </c>
      <c r="E26" s="75"/>
    </row>
    <row r="27">
      <c r="B27" s="246" t="s">
        <v>239</v>
      </c>
      <c r="C27" s="236">
        <v>30.0</v>
      </c>
      <c r="D27" s="92">
        <f>MAX(I7:I18)*C27/100</f>
        <v>3.816</v>
      </c>
      <c r="E27" s="75"/>
    </row>
    <row r="28">
      <c r="B28" s="239"/>
      <c r="C28" s="240"/>
      <c r="D28" s="241"/>
      <c r="E28" s="75"/>
    </row>
    <row r="35">
      <c r="I35" s="75"/>
    </row>
    <row r="36">
      <c r="I36" s="75"/>
    </row>
  </sheetData>
  <mergeCells count="7">
    <mergeCell ref="D1:H1"/>
    <mergeCell ref="G20:J20"/>
    <mergeCell ref="G21:G22"/>
    <mergeCell ref="H21:J22"/>
    <mergeCell ref="B27:B28"/>
    <mergeCell ref="C27:C28"/>
    <mergeCell ref="D27:D28"/>
  </mergeCells>
  <dataValidations>
    <dataValidation type="list" allowBlank="1" showErrorMessage="1" sqref="C24">
      <formula1>"0,5,10"</formula1>
    </dataValidation>
    <dataValidation type="list" allowBlank="1" showErrorMessage="1" sqref="C7:C18 H13:H18">
      <formula1>"1,2,3,4,5,6,7,8,9,10,11,12"</formula1>
    </dataValidation>
    <dataValidation type="list" allowBlank="1" showErrorMessage="1" sqref="B7:B18">
      <formula1>"Аналитик,Frontend,Backend,Smart contract,QA,DevOps"</formula1>
    </dataValidation>
    <dataValidation type="list" allowBlank="1" showErrorMessage="1" sqref="C27">
      <formula1>"10,15,20,30"</formula1>
    </dataValidation>
    <dataValidation type="list" allowBlank="1" showErrorMessage="1" sqref="C25">
      <formula1>"0,10,15,20"</formula1>
    </dataValidation>
    <dataValidation type="list" allowBlank="1" showErrorMessage="1" sqref="C26">
      <formula1>"0,5,10"</formula1>
    </dataValidation>
    <dataValidation type="list" allowBlank="1" showErrorMessage="1" sqref="C22">
      <formula1>"0,1,2"</formula1>
    </dataValidation>
    <dataValidation type="list" allowBlank="1" showErrorMessage="1" sqref="H7:H12">
      <formula1>"1,2,3,4,5,6"</formula1>
    </dataValidation>
    <dataValidation type="list" allowBlank="1" showErrorMessage="1" sqref="C23">
      <formula1>"0,3 "</formula1>
    </dataValidation>
    <dataValidation type="list" allowBlank="1" showErrorMessage="1" sqref="C21">
      <formula1>"0,20,30"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7" t="s">
        <v>240</v>
      </c>
      <c r="B1" s="247" t="s">
        <v>241</v>
      </c>
      <c r="C1" s="247" t="s">
        <v>242</v>
      </c>
      <c r="D1" s="247" t="s">
        <v>243</v>
      </c>
      <c r="E1" s="247" t="s">
        <v>244</v>
      </c>
      <c r="F1" s="247" t="s">
        <v>245</v>
      </c>
      <c r="G1" s="247" t="s">
        <v>246</v>
      </c>
      <c r="H1" s="247" t="s">
        <v>247</v>
      </c>
      <c r="I1" s="248" t="s">
        <v>248</v>
      </c>
      <c r="J1" s="205" t="s">
        <v>249</v>
      </c>
      <c r="K1" s="247" t="s">
        <v>250</v>
      </c>
      <c r="L1" s="247" t="s">
        <v>251</v>
      </c>
    </row>
    <row r="2">
      <c r="A2" s="247" t="str">
        <f>'Оценка'!C13</f>
        <v>Создание и настройка репозиториев</v>
      </c>
      <c r="B2" s="247" t="str">
        <f>'Оценка'!D12</f>
        <v/>
      </c>
      <c r="C2" s="249">
        <f t="shared" ref="C2:C615" si="1">IF(A2&lt;&gt;"", 0, "")</f>
        <v>0</v>
      </c>
      <c r="D2" s="249">
        <f t="shared" ref="D2:D484" si="2">IF(A2&lt;&gt;"", 0, "")</f>
        <v>0</v>
      </c>
      <c r="E2" s="249">
        <f t="shared" ref="E2:E529" si="3">IF(A2&lt;&gt;"", 1, "")</f>
        <v>1</v>
      </c>
      <c r="F2" s="158">
        <f t="shared" ref="F2:F786" si="4">IF(A2&lt;&gt;"", 1, "")</f>
        <v>1</v>
      </c>
      <c r="G2" s="250" t="str">
        <f>IF(A2&lt;&gt;"", 'Sales (Итоги оценки)'!$C$4, "")</f>
        <v>P2P платформа</v>
      </c>
      <c r="H2" s="249">
        <f t="shared" ref="H2:H490" si="5">IF(A2&lt;&gt;"", 1, "")</f>
        <v>1</v>
      </c>
      <c r="I2" s="251">
        <f>IF(OR(ISBLANK('Оценка'!F12), ISBLANK('Оценка'!G12)), "", 
(AVERAGE(
  (
    ('Оценка'!F12 + 4*AVERAGE('Оценка'!F12:G12) + 'Оценка'!G12)/6 - 
    2*(('Оценка'!G12 - 'Оценка'!F12)/6)
  )/5 , 
  (
    ('Оценка'!F12 + 4*AVERAGE('Оценка'!F12:G12) + 'Оценка'!G12)/6 + 
    2*(('Оценка'!G12 - 'Оценка'!F12)/6)
  )/5
) * 
(
  (
    ('PM (Расчеты)'!$C$22/8 + 'PM (Расчеты)'!$C$23/40) + 
    'PM (Расчеты)'!$C$21/100 + 'PM (Расчеты)'!$C$25/100 + 
    'PM (Расчеты)'!$C$26/100
  ) + 1
)))
 * 8 * 60 * 60
</f>
        <v>0</v>
      </c>
      <c r="J2" s="252" t="str">
        <f>'Оценка'!B12</f>
        <v/>
      </c>
      <c r="K2" s="253">
        <f t="shared" ref="K2:K345" si="6">IF(A2&lt;&gt;"", TODAY()
, "")</f>
        <v>46121</v>
      </c>
      <c r="L2" s="253">
        <f t="shared" ref="L2:L396" si="7">IF(A2&lt;&gt;"", TODAY() + (I2 /60/60)
, "")</f>
        <v>46121</v>
      </c>
    </row>
    <row r="3">
      <c r="A3" s="247" t="str">
        <f>#REF!</f>
        <v>#REF!</v>
      </c>
      <c r="B3" s="247" t="str">
        <f>'Оценка'!D13</f>
        <v>Backend, Frontend, Contracts — структура, README, права доступа</v>
      </c>
      <c r="C3" s="249" t="str">
        <f t="shared" si="1"/>
        <v>#REF!</v>
      </c>
      <c r="D3" s="249" t="str">
        <f t="shared" si="2"/>
        <v>#REF!</v>
      </c>
      <c r="E3" s="249" t="str">
        <f t="shared" si="3"/>
        <v>#REF!</v>
      </c>
      <c r="F3" s="158" t="str">
        <f t="shared" si="4"/>
        <v>#REF!</v>
      </c>
      <c r="G3" s="247" t="str">
        <f>IF(A3&lt;&gt;"", 'Sales (Итоги оценки)'!$C$4, "")</f>
        <v>#REF!</v>
      </c>
      <c r="H3" s="249" t="str">
        <f t="shared" si="5"/>
        <v>#REF!</v>
      </c>
      <c r="I3" s="251">
        <f>IF(OR(ISBLANK('Оценка'!F13), ISBLANK('Оценка'!G13)), "", 
(AVERAGE(
  (
    ('Оценка'!F13 + 4*AVERAGE('Оценка'!F13:G13) + 'Оценка'!G13)/6 - 
    2*(('Оценка'!G13 - 'Оценка'!F13)/6)
  )/5 , 
  (
    ('Оценка'!F13 + 4*AVERAGE('Оценка'!F13:G13) + 'Оценка'!G13)/6 + 
    2*(('Оценка'!G13 - 'Оценка'!F13)/6)
  )/5
) * 
(
  (
    ('PM (Расчеты)'!$C$22/8 + 'PM (Расчеты)'!$C$23/40) + 
    'PM (Расчеты)'!$C$21/100 + 'PM (Расчеты)'!$C$25/100 + 
    'PM (Расчеты)'!$C$26/100
  ) + 1
)))
 * 8 * 60 * 60
</f>
        <v>6912</v>
      </c>
      <c r="J3" s="252" t="str">
        <f>'Оценка'!B13</f>
        <v>DevOps</v>
      </c>
      <c r="K3" s="253" t="str">
        <f t="shared" si="6"/>
        <v>#REF!</v>
      </c>
      <c r="L3" s="253" t="str">
        <f t="shared" si="7"/>
        <v>#REF!</v>
      </c>
    </row>
    <row r="4">
      <c r="A4" s="247" t="str">
        <f>'Оценка'!C14</f>
        <v>Настройка CI/CD pipelines</v>
      </c>
      <c r="B4" s="247" t="str">
        <f>'Оценка'!D14</f>
        <v>Сборка, линтинг, тесты, деплой для всех репозиториев</v>
      </c>
      <c r="C4" s="249">
        <f t="shared" si="1"/>
        <v>0</v>
      </c>
      <c r="D4" s="249">
        <f t="shared" si="2"/>
        <v>0</v>
      </c>
      <c r="E4" s="249">
        <f t="shared" si="3"/>
        <v>1</v>
      </c>
      <c r="F4" s="158">
        <f t="shared" si="4"/>
        <v>1</v>
      </c>
      <c r="G4" s="250" t="str">
        <f>IF(A4&lt;&gt;"", 'Sales (Итоги оценки)'!$C$4, "")</f>
        <v>P2P платформа</v>
      </c>
      <c r="H4" s="249">
        <f t="shared" si="5"/>
        <v>1</v>
      </c>
      <c r="I4" s="251">
        <f>IF(OR(ISBLANK('Оценка'!F14), ISBLANK('Оценка'!G14)), "", 
(AVERAGE(
  (
    ('Оценка'!F14 + 4*AVERAGE('Оценка'!F14:G14) + 'Оценка'!G14)/6 - 
    2*(('Оценка'!G14 - 'Оценка'!F14)/6)
  )/5 , 
  (
    ('Оценка'!F14 + 4*AVERAGE('Оценка'!F14:G14) + 'Оценка'!G14)/6 + 
    2*(('Оценка'!G14 - 'Оценка'!F14)/6)
  )/5
) * 
(
  (
    ('PM (Расчеты)'!$C$22/8 + 'PM (Расчеты)'!$C$23/40) + 
    'PM (Расчеты)'!$C$21/100 + 'PM (Расчеты)'!$C$25/100 + 
    'PM (Расчеты)'!$C$26/100
  ) + 1
)))
 * 8 * 60 * 60
</f>
        <v>13824</v>
      </c>
      <c r="J4" s="252" t="str">
        <f>'Оценка'!B14</f>
        <v>DevOps</v>
      </c>
      <c r="K4" s="253">
        <f t="shared" si="6"/>
        <v>46121</v>
      </c>
      <c r="L4" s="253">
        <f t="shared" si="7"/>
        <v>46124.84</v>
      </c>
    </row>
    <row r="5">
      <c r="A5" s="247" t="str">
        <f>'Оценка'!C15</f>
        <v>Настройка PostgreSQL</v>
      </c>
      <c r="B5" s="247" t="str">
        <f>'Оценка'!D15</f>
        <v>Установка, конфигурация, резервное копирование</v>
      </c>
      <c r="C5" s="249">
        <f t="shared" si="1"/>
        <v>0</v>
      </c>
      <c r="D5" s="249">
        <f t="shared" si="2"/>
        <v>0</v>
      </c>
      <c r="E5" s="249">
        <f t="shared" si="3"/>
        <v>1</v>
      </c>
      <c r="F5" s="158">
        <f t="shared" si="4"/>
        <v>1</v>
      </c>
      <c r="G5" s="250" t="str">
        <f>IF(A5&lt;&gt;"", 'Sales (Итоги оценки)'!$C$4, "")</f>
        <v>P2P платформа</v>
      </c>
      <c r="H5" s="249">
        <f t="shared" si="5"/>
        <v>1</v>
      </c>
      <c r="I5" s="251">
        <f>IF(OR(ISBLANK('Оценка'!F15), ISBLANK('Оценка'!G15)), "", 
(AVERAGE(
  (
    ('Оценка'!F15 + 4*AVERAGE('Оценка'!F15:G15) + 'Оценка'!G15)/6 - 
    2*(('Оценка'!G15 - 'Оценка'!F15)/6)
  )/5 , 
  (
    ('Оценка'!F15 + 4*AVERAGE('Оценка'!F15:G15) + 'Оценка'!G15)/6 + 
    2*(('Оценка'!G15 - 'Оценка'!F15)/6)
  )/5
) * 
(
  (
    ('PM (Расчеты)'!$C$22/8 + 'PM (Расчеты)'!$C$23/40) + 
    'PM (Расчеты)'!$C$21/100 + 'PM (Расчеты)'!$C$25/100 + 
    'PM (Расчеты)'!$C$26/100
  ) + 1
)))
 * 8 * 60 * 60
</f>
        <v>13824</v>
      </c>
      <c r="J5" s="252" t="str">
        <f>'Оценка'!B15</f>
        <v>DevOps</v>
      </c>
      <c r="K5" s="253">
        <f t="shared" si="6"/>
        <v>46121</v>
      </c>
      <c r="L5" s="253">
        <f t="shared" si="7"/>
        <v>46124.84</v>
      </c>
    </row>
    <row r="6">
      <c r="A6" s="247" t="str">
        <f>'Оценка'!C16</f>
        <v>Настройка Redis</v>
      </c>
      <c r="B6" s="247" t="str">
        <f>'Оценка'!D16</f>
        <v>Кэш, очереди, сессии</v>
      </c>
      <c r="C6" s="249">
        <f t="shared" si="1"/>
        <v>0</v>
      </c>
      <c r="D6" s="249">
        <f t="shared" si="2"/>
        <v>0</v>
      </c>
      <c r="E6" s="249">
        <f t="shared" si="3"/>
        <v>1</v>
      </c>
      <c r="F6" s="158">
        <f t="shared" si="4"/>
        <v>1</v>
      </c>
      <c r="G6" s="250" t="str">
        <f>IF(A6&lt;&gt;"", 'Sales (Итоги оценки)'!$C$4, "")</f>
        <v>P2P платформа</v>
      </c>
      <c r="H6" s="249">
        <f t="shared" si="5"/>
        <v>1</v>
      </c>
      <c r="I6" s="251">
        <f>IF(OR(ISBLANK('Оценка'!F16), ISBLANK('Оценка'!G16)), "", 
(AVERAGE(
  (
    ('Оценка'!F16 + 4*AVERAGE('Оценка'!F16:G16) + 'Оценка'!G16)/6 - 
    2*(('Оценка'!G16 - 'Оценка'!F16)/6)
  )/5 , 
  (
    ('Оценка'!F16 + 4*AVERAGE('Оценка'!F16:G16) + 'Оценка'!G16)/6 + 
    2*(('Оценка'!G16 - 'Оценка'!F16)/6)
  )/5
) * 
(
  (
    ('PM (Расчеты)'!$C$22/8 + 'PM (Расчеты)'!$C$23/40) + 
    'PM (Расчеты)'!$C$21/100 + 'PM (Расчеты)'!$C$25/100 + 
    'PM (Расчеты)'!$C$26/100
  ) + 1
)))
 * 8 * 60 * 60
</f>
        <v>13824</v>
      </c>
      <c r="J6" s="252" t="str">
        <f>'Оценка'!B16</f>
        <v>DevOps</v>
      </c>
      <c r="K6" s="253">
        <f t="shared" si="6"/>
        <v>46121</v>
      </c>
      <c r="L6" s="253">
        <f t="shared" si="7"/>
        <v>46124.84</v>
      </c>
    </row>
    <row r="7">
      <c r="A7" s="247" t="str">
        <f>'Оценка'!C17</f>
        <v>Настройка HashiCorp Vault</v>
      </c>
      <c r="B7" s="247" t="str">
        <f>'Оценка'!D17</f>
        <v>Хранение секретов, ключей шифрования</v>
      </c>
      <c r="C7" s="249">
        <f t="shared" si="1"/>
        <v>0</v>
      </c>
      <c r="D7" s="249">
        <f t="shared" si="2"/>
        <v>0</v>
      </c>
      <c r="E7" s="249">
        <f t="shared" si="3"/>
        <v>1</v>
      </c>
      <c r="F7" s="158">
        <f t="shared" si="4"/>
        <v>1</v>
      </c>
      <c r="G7" s="250" t="str">
        <f>IF(A7&lt;&gt;"", 'Sales (Итоги оценки)'!$C$4, "")</f>
        <v>P2P платформа</v>
      </c>
      <c r="H7" s="249">
        <f t="shared" si="5"/>
        <v>1</v>
      </c>
      <c r="I7" s="251">
        <f>IF(OR(ISBLANK('Оценка'!F17), ISBLANK('Оценка'!G17)), "", 
(AVERAGE(
  (
    ('Оценка'!F17 + 4*AVERAGE('Оценка'!F17:G17) + 'Оценка'!G17)/6 - 
    2*(('Оценка'!G17 - 'Оценка'!F17)/6)
  )/5 , 
  (
    ('Оценка'!F17 + 4*AVERAGE('Оценка'!F17:G17) + 'Оценка'!G17)/6 + 
    2*(('Оценка'!G17 - 'Оценка'!F17)/6)
  )/5
) * 
(
  (
    ('PM (Расчеты)'!$C$22/8 + 'PM (Расчеты)'!$C$23/40) + 
    'PM (Расчеты)'!$C$21/100 + 'PM (Расчеты)'!$C$25/100 + 
    'PM (Расчеты)'!$C$26/100
  ) + 1
)))
 * 8 * 60 * 60
</f>
        <v>13824</v>
      </c>
      <c r="J7" s="252" t="str">
        <f>'Оценка'!B17</f>
        <v>DevOps</v>
      </c>
      <c r="K7" s="253">
        <f t="shared" si="6"/>
        <v>46121</v>
      </c>
      <c r="L7" s="253">
        <f t="shared" si="7"/>
        <v>46124.84</v>
      </c>
    </row>
    <row r="8">
      <c r="A8" s="247" t="str">
        <f>'Оценка'!C18</f>
        <v>Настройка Nginx и доменов</v>
      </c>
      <c r="B8" s="247" t="str">
        <f>'Оценка'!D18</f>
        <v>Reverse proxy, SSL, rate limiting, DNS</v>
      </c>
      <c r="C8" s="249">
        <f t="shared" si="1"/>
        <v>0</v>
      </c>
      <c r="D8" s="249">
        <f t="shared" si="2"/>
        <v>0</v>
      </c>
      <c r="E8" s="249">
        <f t="shared" si="3"/>
        <v>1</v>
      </c>
      <c r="F8" s="158">
        <f t="shared" si="4"/>
        <v>1</v>
      </c>
      <c r="G8" s="250" t="str">
        <f>IF(A8&lt;&gt;"", 'Sales (Итоги оценки)'!$C$4, "")</f>
        <v>P2P платформа</v>
      </c>
      <c r="H8" s="249">
        <f t="shared" si="5"/>
        <v>1</v>
      </c>
      <c r="I8" s="251">
        <f>IF(OR(ISBLANK('Оценка'!F18), ISBLANK('Оценка'!G18)), "", 
(AVERAGE(
  (
    ('Оценка'!F18 + 4*AVERAGE('Оценка'!F18:G18) + 'Оценка'!G18)/6 - 
    2*(('Оценка'!G18 - 'Оценка'!F18)/6)
  )/5 , 
  (
    ('Оценка'!F18 + 4*AVERAGE('Оценка'!F18:G18) + 'Оценка'!G18)/6 + 
    2*(('Оценка'!G18 - 'Оценка'!F18)/6)
  )/5
) * 
(
  (
    ('PM (Расчеты)'!$C$22/8 + 'PM (Расчеты)'!$C$23/40) + 
    'PM (Расчеты)'!$C$21/100 + 'PM (Расчеты)'!$C$25/100 + 
    'PM (Расчеты)'!$C$26/100
  ) + 1
)))
 * 8 * 60 * 60
</f>
        <v>23040</v>
      </c>
      <c r="J8" s="252" t="str">
        <f>'Оценка'!B18</f>
        <v>DevOps</v>
      </c>
      <c r="K8" s="253">
        <f t="shared" si="6"/>
        <v>46121</v>
      </c>
      <c r="L8" s="253">
        <f t="shared" si="7"/>
        <v>46127.4</v>
      </c>
    </row>
    <row r="9">
      <c r="A9" s="247" t="str">
        <f>'Оценка'!C19</f>
        <v>Настройка мониторинга и алертинга</v>
      </c>
      <c r="B9" s="247" t="str">
        <f>'Оценка'!D19</f>
        <v>Prometheus, Grafana, PagerDuty/Slack интеграция</v>
      </c>
      <c r="C9" s="249">
        <f t="shared" si="1"/>
        <v>0</v>
      </c>
      <c r="D9" s="249">
        <f t="shared" si="2"/>
        <v>0</v>
      </c>
      <c r="E9" s="249">
        <f t="shared" si="3"/>
        <v>1</v>
      </c>
      <c r="F9" s="158">
        <f t="shared" si="4"/>
        <v>1</v>
      </c>
      <c r="G9" s="250" t="str">
        <f>IF(A9&lt;&gt;"", 'Sales (Итоги оценки)'!$C$4, "")</f>
        <v>P2P платформа</v>
      </c>
      <c r="H9" s="249">
        <f t="shared" si="5"/>
        <v>1</v>
      </c>
      <c r="I9" s="251">
        <f>IF(OR(ISBLANK('Оценка'!F19), ISBLANK('Оценка'!G19)), "", 
(AVERAGE(
  (
    ('Оценка'!F19 + 4*AVERAGE('Оценка'!F19:G19) + 'Оценка'!G19)/6 - 
    2*(('Оценка'!G19 - 'Оценка'!F19)/6)
  )/5 , 
  (
    ('Оценка'!F19 + 4*AVERAGE('Оценка'!F19:G19) + 'Оценка'!G19)/6 + 
    2*(('Оценка'!G19 - 'Оценка'!F19)/6)
  )/5
) * 
(
  (
    ('PM (Расчеты)'!$C$22/8 + 'PM (Расчеты)'!$C$23/40) + 
    'PM (Расчеты)'!$C$21/100 + 'PM (Расчеты)'!$C$25/100 + 
    'PM (Расчеты)'!$C$26/100
  ) + 1
)))
 * 8 * 60 * 60
</f>
        <v>23040</v>
      </c>
      <c r="J9" s="252" t="str">
        <f>'Оценка'!B19</f>
        <v>DevOps</v>
      </c>
      <c r="K9" s="253">
        <f t="shared" si="6"/>
        <v>46121</v>
      </c>
      <c r="L9" s="253">
        <f t="shared" si="7"/>
        <v>46127.4</v>
      </c>
    </row>
    <row r="10">
      <c r="A10" s="247" t="str">
        <f>'Оценка'!C20</f>
        <v>Настройка централизованного логирования</v>
      </c>
      <c r="B10" s="247" t="str">
        <f>'Оценка'!D20</f>
        <v/>
      </c>
      <c r="C10" s="249">
        <f t="shared" si="1"/>
        <v>0</v>
      </c>
      <c r="D10" s="249">
        <f t="shared" si="2"/>
        <v>0</v>
      </c>
      <c r="E10" s="249">
        <f t="shared" si="3"/>
        <v>1</v>
      </c>
      <c r="F10" s="158">
        <f t="shared" si="4"/>
        <v>1</v>
      </c>
      <c r="G10" s="250" t="str">
        <f>IF(A10&lt;&gt;"", 'Sales (Итоги оценки)'!$C$4, "")</f>
        <v>P2P платформа</v>
      </c>
      <c r="H10" s="249">
        <f t="shared" si="5"/>
        <v>1</v>
      </c>
      <c r="I10" s="251">
        <f>IF(OR(ISBLANK('Оценка'!F20), ISBLANK('Оценка'!G20)), "", 
(AVERAGE(
  (
    ('Оценка'!F20 + 4*AVERAGE('Оценка'!F20:G20) + 'Оценка'!G20)/6 - 
    2*(('Оценка'!G20 - 'Оценка'!F20)/6)
  )/5 , 
  (
    ('Оценка'!F20 + 4*AVERAGE('Оценка'!F20:G20) + 'Оценка'!G20)/6 + 
    2*(('Оценка'!G20 - 'Оценка'!F20)/6)
  )/5
) * 
(
  (
    ('PM (Расчеты)'!$C$22/8 + 'PM (Расчеты)'!$C$23/40) + 
    'PM (Расчеты)'!$C$21/100 + 'PM (Расчеты)'!$C$25/100 + 
    'PM (Расчеты)'!$C$26/100
  ) + 1
)))
 * 8 * 60 * 60
</f>
        <v>18432</v>
      </c>
      <c r="J10" s="252" t="str">
        <f>'Оценка'!B20</f>
        <v>DevOps</v>
      </c>
      <c r="K10" s="253">
        <f t="shared" si="6"/>
        <v>46121</v>
      </c>
      <c r="L10" s="253">
        <f t="shared" si="7"/>
        <v>46126.12</v>
      </c>
    </row>
    <row r="11">
      <c r="A11" s="247" t="str">
        <f>'Оценка'!C25</f>
        <v>Деплой в testnet (Sepolia)</v>
      </c>
      <c r="B11" s="247" t="str">
        <f>'Оценка'!D25</f>
        <v>Factory + Implementation, верификация в Etherscan</v>
      </c>
      <c r="C11" s="249">
        <f t="shared" si="1"/>
        <v>0</v>
      </c>
      <c r="D11" s="249">
        <f t="shared" si="2"/>
        <v>0</v>
      </c>
      <c r="E11" s="249">
        <f t="shared" si="3"/>
        <v>1</v>
      </c>
      <c r="F11" s="158">
        <f t="shared" si="4"/>
        <v>1</v>
      </c>
      <c r="G11" s="250" t="str">
        <f>IF(A11&lt;&gt;"", 'Sales (Итоги оценки)'!$C$4, "")</f>
        <v>P2P платформа</v>
      </c>
      <c r="H11" s="249">
        <f t="shared" si="5"/>
        <v>1</v>
      </c>
      <c r="I11" s="251">
        <f>IF(OR(ISBLANK('Оценка'!F21), ISBLANK('Оценка'!G21)), "", 
(AVERAGE(
  (
    ('Оценка'!F21 + 4*AVERAGE('Оценка'!F21:G21) + 'Оценка'!G21)/6 - 
    2*(('Оценка'!G21 - 'Оценка'!F21)/6)
  )/5 , 
  (
    ('Оценка'!F21 + 4*AVERAGE('Оценка'!F21:G21) + 'Оценка'!G21)/6 + 
    2*(('Оценка'!G21 - 'Оценка'!F21)/6)
  )/5
) * 
(
  (
    ('PM (Расчеты)'!$C$22/8 + 'PM (Расчеты)'!$C$23/40) + 
    'PM (Расчеты)'!$C$21/100 + 'PM (Расчеты)'!$C$25/100 + 
    'PM (Расчеты)'!$C$26/100
  ) + 1
)))
 * 8 * 60 * 60
</f>
        <v>0</v>
      </c>
      <c r="J11" s="252" t="str">
        <f>'Оценка'!B25</f>
        <v>Smart contract</v>
      </c>
      <c r="K11" s="253">
        <f t="shared" si="6"/>
        <v>46121</v>
      </c>
      <c r="L11" s="253">
        <f t="shared" si="7"/>
        <v>46121</v>
      </c>
    </row>
    <row r="12">
      <c r="A12" s="247" t="str">
        <f>'Оценка'!C26</f>
        <v>Деплой в mainnet</v>
      </c>
      <c r="B12" s="247" t="str">
        <f>'Оценка'!D26</f>
        <v>Factory + Implementation, настройка мультисиг/Fireblocks</v>
      </c>
      <c r="C12" s="249">
        <f t="shared" si="1"/>
        <v>0</v>
      </c>
      <c r="D12" s="249">
        <f t="shared" si="2"/>
        <v>0</v>
      </c>
      <c r="E12" s="249">
        <f t="shared" si="3"/>
        <v>1</v>
      </c>
      <c r="F12" s="158">
        <f t="shared" si="4"/>
        <v>1</v>
      </c>
      <c r="G12" s="250" t="str">
        <f>IF(A12&lt;&gt;"", 'Sales (Итоги оценки)'!$C$4, "")</f>
        <v>P2P платформа</v>
      </c>
      <c r="H12" s="249">
        <f t="shared" si="5"/>
        <v>1</v>
      </c>
      <c r="I12" s="251">
        <f>IF(OR(ISBLANK('Оценка'!F22), ISBLANK('Оценка'!G22)), "", 
(AVERAGE(
  (
    ('Оценка'!F22 + 4*AVERAGE('Оценка'!F22:G22) + 'Оценка'!G22)/6 - 
    2*(('Оценка'!G22 - 'Оценка'!F22)/6)
  )/5 , 
  (
    ('Оценка'!F22 + 4*AVERAGE('Оценка'!F22:G22) + 'Оценка'!G22)/6 + 
    2*(('Оценка'!G22 - 'Оценка'!F22)/6)
  )/5
) * 
(
  (
    ('PM (Расчеты)'!$C$22/8 + 'PM (Расчеты)'!$C$23/40) + 
    'PM (Расчеты)'!$C$21/100 + 'PM (Расчеты)'!$C$25/100 + 
    'PM (Расчеты)'!$C$26/100
  ) + 1
)))
 * 8 * 60 * 60
</f>
        <v>11520</v>
      </c>
      <c r="J12" s="252" t="str">
        <f>'Оценка'!B26</f>
        <v>Smart contract</v>
      </c>
      <c r="K12" s="253">
        <f t="shared" si="6"/>
        <v>46121</v>
      </c>
      <c r="L12" s="253">
        <f t="shared" si="7"/>
        <v>46124.2</v>
      </c>
    </row>
    <row r="13">
      <c r="A13" s="247" t="str">
        <f>'Оценка'!C27</f>
        <v>Аудит безопасности</v>
      </c>
      <c r="B13" s="247" t="str">
        <f>'Оценка'!D27</f>
        <v>Внешний аудит, исправление найденных проблем</v>
      </c>
      <c r="C13" s="249">
        <f t="shared" si="1"/>
        <v>0</v>
      </c>
      <c r="D13" s="249">
        <f t="shared" si="2"/>
        <v>0</v>
      </c>
      <c r="E13" s="249">
        <f t="shared" si="3"/>
        <v>1</v>
      </c>
      <c r="F13" s="158">
        <f t="shared" si="4"/>
        <v>1</v>
      </c>
      <c r="G13" s="250" t="str">
        <f>IF(A13&lt;&gt;"", 'Sales (Итоги оценки)'!$C$4, "")</f>
        <v>P2P платформа</v>
      </c>
      <c r="H13" s="249">
        <f t="shared" si="5"/>
        <v>1</v>
      </c>
      <c r="I13" s="251">
        <f>IF(OR(ISBLANK('Оценка'!F23), ISBLANK('Оценка'!G23)), "", 
(AVERAGE(
  (
    ('Оценка'!F23 + 4*AVERAGE('Оценка'!F23:G23) + 'Оценка'!G23)/6 - 
    2*(('Оценка'!G23 - 'Оценка'!F23)/6)
  )/5 , 
  (
    ('Оценка'!F23 + 4*AVERAGE('Оценка'!F23:G23) + 'Оценка'!G23)/6 + 
    2*(('Оценка'!G23 - 'Оценка'!F23)/6)
  )/5
) * 
(
  (
    ('PM (Расчеты)'!$C$22/8 + 'PM (Расчеты)'!$C$23/40) + 
    'PM (Расчеты)'!$C$21/100 + 'PM (Расчеты)'!$C$25/100 + 
    'PM (Расчеты)'!$C$26/100
  ) + 1
)))
 * 8 * 60 * 60
</f>
        <v>23040</v>
      </c>
      <c r="J13" s="252" t="str">
        <f>'Оценка'!B27</f>
        <v>Smart contract</v>
      </c>
      <c r="K13" s="253">
        <f t="shared" si="6"/>
        <v>46121</v>
      </c>
      <c r="L13" s="253">
        <f t="shared" si="7"/>
        <v>46127.4</v>
      </c>
    </row>
    <row r="14">
      <c r="A14" s="247" t="str">
        <f>'Оценка'!C28</f>
        <v>Backend (Monolith): Инициализация NestJS проекта</v>
      </c>
      <c r="B14" s="247" t="str">
        <f>'Оценка'!D28</f>
        <v/>
      </c>
      <c r="C14" s="249">
        <f t="shared" si="1"/>
        <v>0</v>
      </c>
      <c r="D14" s="249">
        <f t="shared" si="2"/>
        <v>0</v>
      </c>
      <c r="E14" s="249">
        <f t="shared" si="3"/>
        <v>1</v>
      </c>
      <c r="F14" s="158">
        <f t="shared" si="4"/>
        <v>1</v>
      </c>
      <c r="G14" s="250" t="str">
        <f>IF(A14&lt;&gt;"", 'Sales (Итоги оценки)'!$C$4, "")</f>
        <v>P2P платформа</v>
      </c>
      <c r="H14" s="249">
        <f t="shared" si="5"/>
        <v>1</v>
      </c>
      <c r="I14" s="251">
        <f>IF(OR(ISBLANK('Оценка'!F24), ISBLANK('Оценка'!G24)), "", 
(AVERAGE(
  (
    ('Оценка'!F24 + 4*AVERAGE('Оценка'!F24:G24) + 'Оценка'!G24)/6 - 
    2*(('Оценка'!G24 - 'Оценка'!F24)/6)
  )/5 , 
  (
    ('Оценка'!F24 + 4*AVERAGE('Оценка'!F24:G24) + 'Оценка'!G24)/6 + 
    2*(('Оценка'!G24 - 'Оценка'!F24)/6)
  )/5
) * 
(
  (
    ('PM (Расчеты)'!$C$22/8 + 'PM (Расчеты)'!$C$23/40) + 
    'PM (Расчеты)'!$C$21/100 + 'PM (Расчеты)'!$C$25/100 + 
    'PM (Расчеты)'!$C$26/100
  ) + 1
)))
 * 8 * 60 * 60
</f>
        <v>18432</v>
      </c>
      <c r="J14" s="252" t="str">
        <f>'Оценка'!B28</f>
        <v/>
      </c>
      <c r="K14" s="253">
        <f t="shared" si="6"/>
        <v>46121</v>
      </c>
      <c r="L14" s="253">
        <f t="shared" si="7"/>
        <v>46126.12</v>
      </c>
    </row>
    <row r="15">
      <c r="A15" s="247" t="str">
        <f>'Оценка'!C29</f>
        <v>Настройка инфраструктуры</v>
      </c>
      <c r="B15" s="247" t="str">
        <f>'Оценка'!D29</f>
        <v>TypeORM (PostgreSQL), Redis, Bull Queue, валидация</v>
      </c>
      <c r="C15" s="249">
        <f t="shared" si="1"/>
        <v>0</v>
      </c>
      <c r="D15" s="249">
        <f t="shared" si="2"/>
        <v>0</v>
      </c>
      <c r="E15" s="249">
        <f t="shared" si="3"/>
        <v>1</v>
      </c>
      <c r="F15" s="158">
        <f t="shared" si="4"/>
        <v>1</v>
      </c>
      <c r="G15" s="250" t="str">
        <f>IF(A15&lt;&gt;"", 'Sales (Итоги оценки)'!$C$4, "")</f>
        <v>P2P платформа</v>
      </c>
      <c r="H15" s="249">
        <f t="shared" si="5"/>
        <v>1</v>
      </c>
      <c r="I15" s="251">
        <f>IF(OR(ISBLANK('Оценка'!F25), ISBLANK('Оценка'!G25)), "", 
(AVERAGE(
  (
    ('Оценка'!F25 + 4*AVERAGE('Оценка'!F25:G25) + 'Оценка'!G25)/6 - 
    2*(('Оценка'!G25 - 'Оценка'!F25)/6)
  )/5 , 
  (
    ('Оценка'!F25 + 4*AVERAGE('Оценка'!F25:G25) + 'Оценка'!G25)/6 + 
    2*(('Оценка'!G25 - 'Оценка'!F25)/6)
  )/5
) * 
(
  (
    ('PM (Расчеты)'!$C$22/8 + 'PM (Расчеты)'!$C$23/40) + 
    'PM (Расчеты)'!$C$21/100 + 'PM (Расчеты)'!$C$25/100 + 
    'PM (Расчеты)'!$C$26/100
  ) + 1
)))
 * 8 * 60 * 60
</f>
        <v>4608</v>
      </c>
      <c r="J15" s="252" t="str">
        <f>'Оценка'!B29</f>
        <v>Backend</v>
      </c>
      <c r="K15" s="253">
        <f t="shared" si="6"/>
        <v>46121</v>
      </c>
      <c r="L15" s="253">
        <f t="shared" si="7"/>
        <v>46122.28</v>
      </c>
    </row>
    <row r="16">
      <c r="A16" s="247" t="str">
        <f>'Оценка'!C30</f>
        <v>Разработка Shared Layer</v>
      </c>
      <c r="B16" s="247" t="str">
        <f>'Оценка'!D30</f>
        <v>Database Service, Cache Service, Queue Service, Auth Service</v>
      </c>
      <c r="C16" s="249">
        <f t="shared" si="1"/>
        <v>0</v>
      </c>
      <c r="D16" s="249">
        <f t="shared" si="2"/>
        <v>0</v>
      </c>
      <c r="E16" s="249">
        <f t="shared" si="3"/>
        <v>1</v>
      </c>
      <c r="F16" s="158">
        <f t="shared" si="4"/>
        <v>1</v>
      </c>
      <c r="G16" s="250" t="str">
        <f>IF(A16&lt;&gt;"", 'Sales (Итоги оценки)'!$C$4, "")</f>
        <v>P2P платформа</v>
      </c>
      <c r="H16" s="249">
        <f t="shared" si="5"/>
        <v>1</v>
      </c>
      <c r="I16" s="251">
        <f>IF(OR(ISBLANK('Оценка'!F26), ISBLANK('Оценка'!G26)), "", 
(AVERAGE(
  (
    ('Оценка'!F26 + 4*AVERAGE('Оценка'!F26:G26) + 'Оценка'!G26)/6 - 
    2*(('Оценка'!G26 - 'Оценка'!F26)/6)
  )/5 , 
  (
    ('Оценка'!F26 + 4*AVERAGE('Оценка'!F26:G26) + 'Оценка'!G26)/6 + 
    2*(('Оценка'!G26 - 'Оценка'!F26)/6)
  )/5
) * 
(
  (
    ('PM (Расчеты)'!$C$22/8 + 'PM (Расчеты)'!$C$23/40) + 
    'PM (Расчеты)'!$C$21/100 + 'PM (Расчеты)'!$C$25/100 + 
    'PM (Расчеты)'!$C$26/100
  ) + 1
)))
 * 8 * 60 * 60
</f>
        <v>18432</v>
      </c>
      <c r="J16" s="252" t="str">
        <f>'Оценка'!B30</f>
        <v>Backend</v>
      </c>
      <c r="K16" s="253">
        <f t="shared" si="6"/>
        <v>46121</v>
      </c>
      <c r="L16" s="253">
        <f t="shared" si="7"/>
        <v>46126.12</v>
      </c>
    </row>
    <row r="17">
      <c r="A17" s="247" t="str">
        <f>'Оценка'!C31</f>
        <v>Разработка Blockchain Service</v>
      </c>
      <c r="B17" s="247" t="str">
        <f>'Оценка'!D31</f>
        <v>Ethers.js интеграция, RPC, индексатор событий</v>
      </c>
      <c r="C17" s="249">
        <f t="shared" si="1"/>
        <v>0</v>
      </c>
      <c r="D17" s="249">
        <f t="shared" si="2"/>
        <v>0</v>
      </c>
      <c r="E17" s="249">
        <f t="shared" si="3"/>
        <v>1</v>
      </c>
      <c r="F17" s="158">
        <f t="shared" si="4"/>
        <v>1</v>
      </c>
      <c r="G17" s="250" t="str">
        <f>IF(A17&lt;&gt;"", 'Sales (Итоги оценки)'!$C$4, "")</f>
        <v>P2P платформа</v>
      </c>
      <c r="H17" s="249">
        <f t="shared" si="5"/>
        <v>1</v>
      </c>
      <c r="I17" s="251">
        <f>IF(OR(ISBLANK('Оценка'!F27), ISBLANK('Оценка'!G27)), "", 
(AVERAGE(
  (
    ('Оценка'!F27 + 4*AVERAGE('Оценка'!F27:G27) + 'Оценка'!G27)/6 - 
    2*(('Оценка'!G27 - 'Оценка'!F27)/6)
  )/5 , 
  (
    ('Оценка'!F27 + 4*AVERAGE('Оценка'!F27:G27) + 'Оценка'!G27)/6 + 
    2*(('Оценка'!G27 - 'Оценка'!F27)/6)
  )/5
) * 
(
  (
    ('PM (Расчеты)'!$C$22/8 + 'PM (Расчеты)'!$C$23/40) + 
    'PM (Расчеты)'!$C$21/100 + 'PM (Расчеты)'!$C$25/100 + 
    'PM (Расчеты)'!$C$26/100
  ) + 1
)))
 * 8 * 60 * 60
</f>
        <v>9216</v>
      </c>
      <c r="J17" s="252" t="str">
        <f>'Оценка'!B31</f>
        <v>Backend</v>
      </c>
      <c r="K17" s="253">
        <f t="shared" si="6"/>
        <v>46121</v>
      </c>
      <c r="L17" s="253">
        <f t="shared" si="7"/>
        <v>46123.56</v>
      </c>
    </row>
    <row r="18">
      <c r="A18" s="247" t="str">
        <f>'Оценка'!C32</f>
        <v>Разработка Encryption Service</v>
      </c>
      <c r="B18" s="247" t="str">
        <f>'Оценка'!D32</f>
        <v>AES-256 для шифрования реквизитов</v>
      </c>
      <c r="C18" s="249">
        <f t="shared" si="1"/>
        <v>0</v>
      </c>
      <c r="D18" s="249">
        <f t="shared" si="2"/>
        <v>0</v>
      </c>
      <c r="E18" s="249">
        <f t="shared" si="3"/>
        <v>1</v>
      </c>
      <c r="F18" s="158">
        <f t="shared" si="4"/>
        <v>1</v>
      </c>
      <c r="G18" s="250" t="str">
        <f>IF(A18&lt;&gt;"", 'Sales (Итоги оценки)'!$C$4, "")</f>
        <v>P2P платформа</v>
      </c>
      <c r="H18" s="249">
        <f t="shared" si="5"/>
        <v>1</v>
      </c>
      <c r="I18" s="251">
        <f>IF(OR(ISBLANK('Оценка'!F28), ISBLANK('Оценка'!G28)), "", 
(AVERAGE(
  (
    ('Оценка'!F28 + 4*AVERAGE('Оценка'!F28:G28) + 'Оценка'!G28)/6 - 
    2*(('Оценка'!G28 - 'Оценка'!F28)/6)
  )/5 , 
  (
    ('Оценка'!F28 + 4*AVERAGE('Оценка'!F28:G28) + 'Оценка'!G28)/6 + 
    2*(('Оценка'!G28 - 'Оценка'!F28)/6)
  )/5
) * 
(
  (
    ('PM (Расчеты)'!$C$22/8 + 'PM (Расчеты)'!$C$23/40) + 
    'PM (Расчеты)'!$C$21/100 + 'PM (Расчеты)'!$C$25/100 + 
    'PM (Расчеты)'!$C$26/100
  ) + 1
)))
 * 8 * 60 * 60
</f>
        <v>0</v>
      </c>
      <c r="J18" s="252" t="str">
        <f>'Оценка'!B32</f>
        <v>Backend</v>
      </c>
      <c r="K18" s="253">
        <f t="shared" si="6"/>
        <v>46121</v>
      </c>
      <c r="L18" s="253">
        <f t="shared" si="7"/>
        <v>46121</v>
      </c>
    </row>
    <row r="19">
      <c r="A19" s="247" t="str">
        <f>'Оценка'!C33</f>
        <v>Backend (Monolith): User Module</v>
      </c>
      <c r="B19" s="247" t="str">
        <f>'Оценка'!D33</f>
        <v/>
      </c>
      <c r="C19" s="249">
        <f t="shared" si="1"/>
        <v>0</v>
      </c>
      <c r="D19" s="249">
        <f t="shared" si="2"/>
        <v>0</v>
      </c>
      <c r="E19" s="249">
        <f t="shared" si="3"/>
        <v>1</v>
      </c>
      <c r="F19" s="158">
        <f t="shared" si="4"/>
        <v>1</v>
      </c>
      <c r="G19" s="250" t="str">
        <f>IF(A19&lt;&gt;"", 'Sales (Итоги оценки)'!$C$4, "")</f>
        <v>P2P платформа</v>
      </c>
      <c r="H19" s="249">
        <f t="shared" si="5"/>
        <v>1</v>
      </c>
      <c r="I19" s="251">
        <f>IF(OR(ISBLANK('Оценка'!F29), ISBLANK('Оценка'!G29)), "", 
(AVERAGE(
  (
    ('Оценка'!F29 + 4*AVERAGE('Оценка'!F29:G29) + 'Оценка'!G29)/6 - 
    2*(('Оценка'!G29 - 'Оценка'!F29)/6)
  )/5 , 
  (
    ('Оценка'!F29 + 4*AVERAGE('Оценка'!F29:G29) + 'Оценка'!G29)/6 + 
    2*(('Оценка'!G29 - 'Оценка'!F29)/6)
  )/5
) * 
(
  (
    ('PM (Расчеты)'!$C$22/8 + 'PM (Расчеты)'!$C$23/40) + 
    'PM (Расчеты)'!$C$21/100 + 'PM (Расчеты)'!$C$25/100 + 
    'PM (Расчеты)'!$C$26/100
  ) + 1
)))
 * 8 * 60 * 60
</f>
        <v>23040</v>
      </c>
      <c r="J19" s="252" t="str">
        <f>'Оценка'!B33</f>
        <v/>
      </c>
      <c r="K19" s="253">
        <f t="shared" si="6"/>
        <v>46121</v>
      </c>
      <c r="L19" s="253">
        <f t="shared" si="7"/>
        <v>46127.4</v>
      </c>
    </row>
    <row r="20">
      <c r="A20" s="247" t="str">
        <f>'Оценка'!C34</f>
        <v>Создание сущностей</v>
      </c>
      <c r="B20" s="247" t="str">
        <f>'Оценка'!D34</f>
        <v>User (с полями реферальной программы: referrer_id, referrer_wallet, referral_code), Wallet, KycStatus, UserLevel — таблицы, связи, индексы</v>
      </c>
      <c r="C20" s="249">
        <f t="shared" si="1"/>
        <v>0</v>
      </c>
      <c r="D20" s="249">
        <f t="shared" si="2"/>
        <v>0</v>
      </c>
      <c r="E20" s="249">
        <f t="shared" si="3"/>
        <v>1</v>
      </c>
      <c r="F20" s="158">
        <f t="shared" si="4"/>
        <v>1</v>
      </c>
      <c r="G20" s="250" t="str">
        <f>IF(A20&lt;&gt;"", 'Sales (Итоги оценки)'!$C$4, "")</f>
        <v>P2P платформа</v>
      </c>
      <c r="H20" s="249">
        <f t="shared" si="5"/>
        <v>1</v>
      </c>
      <c r="I20" s="251">
        <f>IF(OR(ISBLANK('Оценка'!F30), ISBLANK('Оценка'!G30)), "", 
(AVERAGE(
  (
    ('Оценка'!F30 + 4*AVERAGE('Оценка'!F30:G30) + 'Оценка'!G30)/6 - 
    2*(('Оценка'!G30 - 'Оценка'!F30)/6)
  )/5 , 
  (
    ('Оценка'!F30 + 4*AVERAGE('Оценка'!F30:G30) + 'Оценка'!G30)/6 + 
    2*(('Оценка'!G30 - 'Оценка'!F30)/6)
  )/5
) * 
(
  (
    ('PM (Расчеты)'!$C$22/8 + 'PM (Расчеты)'!$C$23/40) + 
    'PM (Расчеты)'!$C$21/100 + 'PM (Расчеты)'!$C$25/100 + 
    'PM (Расчеты)'!$C$26/100
  ) + 1
)))
 * 8 * 60 * 60
</f>
        <v>23040</v>
      </c>
      <c r="J20" s="252" t="str">
        <f>'Оценка'!B34</f>
        <v>Backend</v>
      </c>
      <c r="K20" s="253">
        <f t="shared" si="6"/>
        <v>46121</v>
      </c>
      <c r="L20" s="253">
        <f t="shared" si="7"/>
        <v>46127.4</v>
      </c>
    </row>
    <row r="21">
      <c r="A21" s="247" t="str">
        <f>'Оценка'!C35</f>
        <v>Разработка API</v>
      </c>
      <c r="B21" s="247" t="str">
        <f>'Оценка'!D35</f>
        <v>Регистрация, авторизация (Web3 + JWT), профиль, привязка кошелька</v>
      </c>
      <c r="C21" s="249">
        <f t="shared" si="1"/>
        <v>0</v>
      </c>
      <c r="D21" s="249">
        <f t="shared" si="2"/>
        <v>0</v>
      </c>
      <c r="E21" s="249">
        <f t="shared" si="3"/>
        <v>1</v>
      </c>
      <c r="F21" s="158">
        <f t="shared" si="4"/>
        <v>1</v>
      </c>
      <c r="G21" s="250" t="str">
        <f>IF(A21&lt;&gt;"", 'Sales (Итоги оценки)'!$C$4, "")</f>
        <v>P2P платформа</v>
      </c>
      <c r="H21" s="249">
        <f t="shared" si="5"/>
        <v>1</v>
      </c>
      <c r="I21" s="251">
        <f>IF(OR(ISBLANK('Оценка'!F31), ISBLANK('Оценка'!G31)), "", 
(AVERAGE(
  (
    ('Оценка'!F31 + 4*AVERAGE('Оценка'!F31:G31) + 'Оценка'!G31)/6 - 
    2*(('Оценка'!G31 - 'Оценка'!F31)/6)
  )/5 , 
  (
    ('Оценка'!F31 + 4*AVERAGE('Оценка'!F31:G31) + 'Оценка'!G31)/6 + 
    2*(('Оценка'!G31 - 'Оценка'!F31)/6)
  )/5
) * 
(
  (
    ('PM (Расчеты)'!$C$22/8 + 'PM (Расчеты)'!$C$23/40) + 
    'PM (Расчеты)'!$C$21/100 + 'PM (Расчеты)'!$C$25/100 + 
    'PM (Расчеты)'!$C$26/100
  ) + 1
)))
 * 8 * 60 * 60
</f>
        <v>23040</v>
      </c>
      <c r="J21" s="252" t="str">
        <f>'Оценка'!B35</f>
        <v>Backend</v>
      </c>
      <c r="K21" s="253">
        <f t="shared" si="6"/>
        <v>46121</v>
      </c>
      <c r="L21" s="253">
        <f t="shared" si="7"/>
        <v>46127.4</v>
      </c>
    </row>
    <row r="22">
      <c r="A22" s="247" t="str">
        <f>'Оценка'!C36</f>
        <v>Реализация уровней доступа</v>
      </c>
      <c r="B22" s="247" t="str">
        <f>'Оценка'!D36</f>
        <v>Проверка прав, лимиты</v>
      </c>
      <c r="C22" s="249">
        <f t="shared" si="1"/>
        <v>0</v>
      </c>
      <c r="D22" s="249">
        <f t="shared" si="2"/>
        <v>0</v>
      </c>
      <c r="E22" s="249">
        <f t="shared" si="3"/>
        <v>1</v>
      </c>
      <c r="F22" s="158">
        <f t="shared" si="4"/>
        <v>1</v>
      </c>
      <c r="G22" s="250" t="str">
        <f>IF(A22&lt;&gt;"", 'Sales (Итоги оценки)'!$C$4, "")</f>
        <v>P2P платформа</v>
      </c>
      <c r="H22" s="249">
        <f t="shared" si="5"/>
        <v>1</v>
      </c>
      <c r="I22" s="251">
        <f>IF(OR(ISBLANK('Оценка'!F32), ISBLANK('Оценка'!G32)), "", 
(AVERAGE(
  (
    ('Оценка'!F32 + 4*AVERAGE('Оценка'!F32:G32) + 'Оценка'!G32)/6 - 
    2*(('Оценка'!G32 - 'Оценка'!F32)/6)
  )/5 , 
  (
    ('Оценка'!F32 + 4*AVERAGE('Оценка'!F32:G32) + 'Оценка'!G32)/6 + 
    2*(('Оценка'!G32 - 'Оценка'!F32)/6)
  )/5
) * 
(
  (
    ('PM (Расчеты)'!$C$22/8 + 'PM (Расчеты)'!$C$23/40) + 
    'PM (Расчеты)'!$C$21/100 + 'PM (Расчеты)'!$C$25/100 + 
    'PM (Расчеты)'!$C$26/100
  ) + 1
)))
 * 8 * 60 * 60
</f>
        <v>13824</v>
      </c>
      <c r="J22" s="252" t="str">
        <f>'Оценка'!B36</f>
        <v>Backend</v>
      </c>
      <c r="K22" s="253">
        <f t="shared" si="6"/>
        <v>46121</v>
      </c>
      <c r="L22" s="253">
        <f t="shared" si="7"/>
        <v>46124.84</v>
      </c>
    </row>
    <row r="23">
      <c r="A23" s="247" t="str">
        <f>'Оценка'!C37</f>
        <v>Backend (Monolith): Trading Module</v>
      </c>
      <c r="B23" s="247" t="str">
        <f>'Оценка'!D37</f>
        <v/>
      </c>
      <c r="C23" s="249">
        <f t="shared" si="1"/>
        <v>0</v>
      </c>
      <c r="D23" s="249">
        <f t="shared" si="2"/>
        <v>0</v>
      </c>
      <c r="E23" s="249">
        <f t="shared" si="3"/>
        <v>1</v>
      </c>
      <c r="F23" s="158">
        <f t="shared" si="4"/>
        <v>1</v>
      </c>
      <c r="G23" s="250" t="str">
        <f>IF(A23&lt;&gt;"", 'Sales (Итоги оценки)'!$C$4, "")</f>
        <v>P2P платформа</v>
      </c>
      <c r="H23" s="249">
        <f t="shared" si="5"/>
        <v>1</v>
      </c>
      <c r="I23" s="251">
        <f>IF(OR(ISBLANK('Оценка'!F33), ISBLANK('Оценка'!G33)), "", 
(AVERAGE(
  (
    ('Оценка'!F33 + 4*AVERAGE('Оценка'!F33:G33) + 'Оценка'!G33)/6 - 
    2*(('Оценка'!G33 - 'Оценка'!F33)/6)
  )/5 , 
  (
    ('Оценка'!F33 + 4*AVERAGE('Оценка'!F33:G33) + 'Оценка'!G33)/6 + 
    2*(('Оценка'!G33 - 'Оценка'!F33)/6)
  )/5
) * 
(
  (
    ('PM (Расчеты)'!$C$22/8 + 'PM (Расчеты)'!$C$23/40) + 
    'PM (Расчеты)'!$C$21/100 + 'PM (Расчеты)'!$C$25/100 + 
    'PM (Расчеты)'!$C$26/100
  ) + 1
)))
 * 8 * 60 * 60
</f>
        <v>0</v>
      </c>
      <c r="J23" s="252" t="str">
        <f>'Оценка'!B37</f>
        <v/>
      </c>
      <c r="K23" s="253">
        <f t="shared" si="6"/>
        <v>46121</v>
      </c>
      <c r="L23" s="253">
        <f t="shared" si="7"/>
        <v>46121</v>
      </c>
    </row>
    <row r="24">
      <c r="A24" s="247" t="str">
        <f>'Оценка'!C38</f>
        <v>Создание сущностей</v>
      </c>
      <c r="B24" s="247" t="str">
        <f>'Оценка'!D38</f>
        <v>Order, Deal, EscrowContract — таблицы, связи</v>
      </c>
      <c r="C24" s="249">
        <f t="shared" si="1"/>
        <v>0</v>
      </c>
      <c r="D24" s="249">
        <f t="shared" si="2"/>
        <v>0</v>
      </c>
      <c r="E24" s="249">
        <f t="shared" si="3"/>
        <v>1</v>
      </c>
      <c r="F24" s="158">
        <f t="shared" si="4"/>
        <v>1</v>
      </c>
      <c r="G24" s="250" t="str">
        <f>IF(A24&lt;&gt;"", 'Sales (Итоги оценки)'!$C$4, "")</f>
        <v>P2P платформа</v>
      </c>
      <c r="H24" s="249">
        <f t="shared" si="5"/>
        <v>1</v>
      </c>
      <c r="I24" s="251">
        <f>IF(OR(ISBLANK('Оценка'!F34), ISBLANK('Оценка'!G34)), "", 
(AVERAGE(
  (
    ('Оценка'!F34 + 4*AVERAGE('Оценка'!F34:G34) + 'Оценка'!G34)/6 - 
    2*(('Оценка'!G34 - 'Оценка'!F34)/6)
  )/5 , 
  (
    ('Оценка'!F34 + 4*AVERAGE('Оценка'!F34:G34) + 'Оценка'!G34)/6 + 
    2*(('Оценка'!G34 - 'Оценка'!F34)/6)
  )/5
) * 
(
  (
    ('PM (Расчеты)'!$C$22/8 + 'PM (Расчеты)'!$C$23/40) + 
    'PM (Расчеты)'!$C$21/100 + 'PM (Расчеты)'!$C$25/100 + 
    'PM (Расчеты)'!$C$26/100
  ) + 1
)))
 * 8 * 60 * 60
</f>
        <v>18432</v>
      </c>
      <c r="J24" s="252" t="str">
        <f>'Оценка'!B38</f>
        <v>Backend</v>
      </c>
      <c r="K24" s="253">
        <f t="shared" si="6"/>
        <v>46121</v>
      </c>
      <c r="L24" s="253">
        <f t="shared" si="7"/>
        <v>46126.12</v>
      </c>
    </row>
    <row r="25">
      <c r="A25" s="247" t="str">
        <f>'Оценка'!C39</f>
        <v>Разработка Order API</v>
      </c>
      <c r="B25" s="247" t="str">
        <f>'Оценка'!D39</f>
        <v>CRUD ордеров, стакан, фильтрация, WebSocket для real-time</v>
      </c>
      <c r="C25" s="249">
        <f t="shared" si="1"/>
        <v>0</v>
      </c>
      <c r="D25" s="249">
        <f t="shared" si="2"/>
        <v>0</v>
      </c>
      <c r="E25" s="249">
        <f t="shared" si="3"/>
        <v>1</v>
      </c>
      <c r="F25" s="158">
        <f t="shared" si="4"/>
        <v>1</v>
      </c>
      <c r="G25" s="250" t="str">
        <f>IF(A25&lt;&gt;"", 'Sales (Итоги оценки)'!$C$4, "")</f>
        <v>P2P платформа</v>
      </c>
      <c r="H25" s="249">
        <f t="shared" si="5"/>
        <v>1</v>
      </c>
      <c r="I25" s="251">
        <f>IF(OR(ISBLANK('Оценка'!F35), ISBLANK('Оценка'!G35)), "", 
(AVERAGE(
  (
    ('Оценка'!F35 + 4*AVERAGE('Оценка'!F35:G35) + 'Оценка'!G35)/6 - 
    2*(('Оценка'!G35 - 'Оценка'!F35)/6)
  )/5 , 
  (
    ('Оценка'!F35 + 4*AVERAGE('Оценка'!F35:G35) + 'Оценка'!G35)/6 + 
    2*(('Оценка'!G35 - 'Оценка'!F35)/6)
  )/5
) * 
(
  (
    ('PM (Расчеты)'!$C$22/8 + 'PM (Расчеты)'!$C$23/40) + 
    'PM (Расчеты)'!$C$21/100 + 'PM (Расчеты)'!$C$25/100 + 
    'PM (Расчеты)'!$C$26/100
  ) + 1
)))
 * 8 * 60 * 60
</f>
        <v>27648</v>
      </c>
      <c r="J25" s="252" t="str">
        <f>'Оценка'!B39</f>
        <v>Backend</v>
      </c>
      <c r="K25" s="253">
        <f t="shared" si="6"/>
        <v>46121</v>
      </c>
      <c r="L25" s="253">
        <f t="shared" si="7"/>
        <v>46128.68</v>
      </c>
    </row>
    <row r="26">
      <c r="A26" s="247" t="str">
        <f>'Оценка'!C40</f>
        <v>Разработка Deal API</v>
      </c>
      <c r="B26" s="247" t="str">
        <f>'Оценка'!D40</f>
        <v>Инициация, деплой эскроу, обработка депозита, подтверждения</v>
      </c>
      <c r="C26" s="249">
        <f t="shared" si="1"/>
        <v>0</v>
      </c>
      <c r="D26" s="249">
        <f t="shared" si="2"/>
        <v>0</v>
      </c>
      <c r="E26" s="249">
        <f t="shared" si="3"/>
        <v>1</v>
      </c>
      <c r="F26" s="158">
        <f t="shared" si="4"/>
        <v>1</v>
      </c>
      <c r="G26" s="250" t="str">
        <f>IF(A26&lt;&gt;"", 'Sales (Итоги оценки)'!$C$4, "")</f>
        <v>P2P платформа</v>
      </c>
      <c r="H26" s="249">
        <f t="shared" si="5"/>
        <v>1</v>
      </c>
      <c r="I26" s="251">
        <f>IF(OR(ISBLANK('Оценка'!F36), ISBLANK('Оценка'!G36)), "", 
(AVERAGE(
  (
    ('Оценка'!F36 + 4*AVERAGE('Оценка'!F36:G36) + 'Оценка'!G36)/6 - 
    2*(('Оценка'!G36 - 'Оценка'!F36)/6)
  )/5 , 
  (
    ('Оценка'!F36 + 4*AVERAGE('Оценка'!F36:G36) + 'Оценка'!G36)/6 + 
    2*(('Оценка'!G36 - 'Оценка'!F36)/6)
  )/5
) * 
(
  (
    ('PM (Расчеты)'!$C$22/8 + 'PM (Расчеты)'!$C$23/40) + 
    'PM (Расчеты)'!$C$21/100 + 'PM (Расчеты)'!$C$25/100 + 
    'PM (Расчеты)'!$C$26/100
  ) + 1
)))
 * 8 * 60 * 60
</f>
        <v>23040</v>
      </c>
      <c r="J26" s="252" t="str">
        <f>'Оценка'!B40</f>
        <v>Backend</v>
      </c>
      <c r="K26" s="253">
        <f t="shared" si="6"/>
        <v>46121</v>
      </c>
      <c r="L26" s="253">
        <f t="shared" si="7"/>
        <v>46127.4</v>
      </c>
    </row>
    <row r="27">
      <c r="A27" s="247" t="str">
        <f>'Оценка'!C41</f>
        <v>Реализация жизненного цикла сделки</v>
      </c>
      <c r="B27" s="247" t="str">
        <f>'Оценка'!D41</f>
        <v>Таймауты, авто-отмена, релиз, комиссия</v>
      </c>
      <c r="C27" s="249">
        <f t="shared" si="1"/>
        <v>0</v>
      </c>
      <c r="D27" s="249">
        <f t="shared" si="2"/>
        <v>0</v>
      </c>
      <c r="E27" s="249">
        <f t="shared" si="3"/>
        <v>1</v>
      </c>
      <c r="F27" s="158">
        <f t="shared" si="4"/>
        <v>1</v>
      </c>
      <c r="G27" s="250" t="str">
        <f>IF(A27&lt;&gt;"", 'Sales (Итоги оценки)'!$C$4, "")</f>
        <v>P2P платформа</v>
      </c>
      <c r="H27" s="249">
        <f t="shared" si="5"/>
        <v>1</v>
      </c>
      <c r="I27" s="251">
        <f>IF(OR(ISBLANK('Оценка'!F37), ISBLANK('Оценка'!G37)), "", 
(AVERAGE(
  (
    ('Оценка'!F37 + 4*AVERAGE('Оценка'!F37:G37) + 'Оценка'!G37)/6 - 
    2*(('Оценка'!G37 - 'Оценка'!F37)/6)
  )/5 , 
  (
    ('Оценка'!F37 + 4*AVERAGE('Оценка'!F37:G37) + 'Оценка'!G37)/6 + 
    2*(('Оценка'!G37 - 'Оценка'!F37)/6)
  )/5
) * 
(
  (
    ('PM (Расчеты)'!$C$22/8 + 'PM (Расчеты)'!$C$23/40) + 
    'PM (Расчеты)'!$C$21/100 + 'PM (Расчеты)'!$C$25/100 + 
    'PM (Расчеты)'!$C$26/100
  ) + 1
)))
 * 8 * 60 * 60
</f>
        <v>0</v>
      </c>
      <c r="J27" s="252" t="str">
        <f>'Оценка'!B41</f>
        <v>Backend</v>
      </c>
      <c r="K27" s="253">
        <f t="shared" si="6"/>
        <v>46121</v>
      </c>
      <c r="L27" s="253">
        <f t="shared" si="7"/>
        <v>46121</v>
      </c>
    </row>
    <row r="28">
      <c r="A28" s="247" t="str">
        <f>'Оценка'!C42</f>
        <v>Реализация режима "Яма"</v>
      </c>
      <c r="B28" s="247" t="str">
        <f>'Оценка'!D42</f>
        <v>Переговорные сделки, фиксация курса</v>
      </c>
      <c r="C28" s="249">
        <f t="shared" si="1"/>
        <v>0</v>
      </c>
      <c r="D28" s="249">
        <f t="shared" si="2"/>
        <v>0</v>
      </c>
      <c r="E28" s="249">
        <f t="shared" si="3"/>
        <v>1</v>
      </c>
      <c r="F28" s="158">
        <f t="shared" si="4"/>
        <v>1</v>
      </c>
      <c r="G28" s="250" t="str">
        <f>IF(A28&lt;&gt;"", 'Sales (Итоги оценки)'!$C$4, "")</f>
        <v>P2P платформа</v>
      </c>
      <c r="H28" s="249">
        <f t="shared" si="5"/>
        <v>1</v>
      </c>
      <c r="I28" s="251">
        <f>IF(OR(ISBLANK('Оценка'!F38), ISBLANK('Оценка'!G38)), "", 
(AVERAGE(
  (
    ('Оценка'!F38 + 4*AVERAGE('Оценка'!F38:G38) + 'Оценка'!G38)/6 - 
    2*(('Оценка'!G38 - 'Оценка'!F38)/6)
  )/5 , 
  (
    ('Оценка'!F38 + 4*AVERAGE('Оценка'!F38:G38) + 'Оценка'!G38)/6 + 
    2*(('Оценка'!G38 - 'Оценка'!F38)/6)
  )/5
) * 
(
  (
    ('PM (Расчеты)'!$C$22/8 + 'PM (Расчеты)'!$C$23/40) + 
    'PM (Расчеты)'!$C$21/100 + 'PM (Расчеты)'!$C$25/100 + 
    'PM (Расчеты)'!$C$26/100
  ) + 1
)))
 * 8 * 60 * 60
</f>
        <v>13824</v>
      </c>
      <c r="J28" s="252" t="str">
        <f>'Оценка'!B42</f>
        <v>Backend</v>
      </c>
      <c r="K28" s="253">
        <f t="shared" si="6"/>
        <v>46121</v>
      </c>
      <c r="L28" s="253">
        <f t="shared" si="7"/>
        <v>46124.84</v>
      </c>
    </row>
    <row r="29">
      <c r="A29" s="247" t="str">
        <f>'Оценка'!C43</f>
        <v>Backend (Monolith): Payment Module</v>
      </c>
      <c r="B29" s="247" t="str">
        <f>'Оценка'!D43</f>
        <v/>
      </c>
      <c r="C29" s="249">
        <f t="shared" si="1"/>
        <v>0</v>
      </c>
      <c r="D29" s="249">
        <f t="shared" si="2"/>
        <v>0</v>
      </c>
      <c r="E29" s="249">
        <f t="shared" si="3"/>
        <v>1</v>
      </c>
      <c r="F29" s="158">
        <f t="shared" si="4"/>
        <v>1</v>
      </c>
      <c r="G29" s="250" t="str">
        <f>IF(A29&lt;&gt;"", 'Sales (Итоги оценки)'!$C$4, "")</f>
        <v>P2P платформа</v>
      </c>
      <c r="H29" s="249">
        <f t="shared" si="5"/>
        <v>1</v>
      </c>
      <c r="I29" s="251">
        <f>IF(OR(ISBLANK('Оценка'!F39), ISBLANK('Оценка'!G39)), "", 
(AVERAGE(
  (
    ('Оценка'!F39 + 4*AVERAGE('Оценка'!F39:G39) + 'Оценка'!G39)/6 - 
    2*(('Оценка'!G39 - 'Оценка'!F39)/6)
  )/5 , 
  (
    ('Оценка'!F39 + 4*AVERAGE('Оценка'!F39:G39) + 'Оценка'!G39)/6 + 
    2*(('Оценка'!G39 - 'Оценка'!F39)/6)
  )/5
) * 
(
  (
    ('PM (Расчеты)'!$C$22/8 + 'PM (Расчеты)'!$C$23/40) + 
    'PM (Расчеты)'!$C$21/100 + 'PM (Расчеты)'!$C$25/100 + 
    'PM (Расчеты)'!$C$26/100
  ) + 1
)))
 * 8 * 60 * 60
</f>
        <v>34560</v>
      </c>
      <c r="J29" s="252" t="str">
        <f>'Оценка'!B43</f>
        <v/>
      </c>
      <c r="K29" s="253">
        <f t="shared" si="6"/>
        <v>46121</v>
      </c>
      <c r="L29" s="253">
        <f t="shared" si="7"/>
        <v>46130.6</v>
      </c>
    </row>
    <row r="30">
      <c r="A30" s="247" t="str">
        <f>'Оценка'!C44</f>
        <v>Создание сущности PaymentDetails</v>
      </c>
      <c r="B30" s="247" t="str">
        <f>'Оценка'!D44</f>
        <v>Таблица, шифрование</v>
      </c>
      <c r="C30" s="249">
        <f t="shared" si="1"/>
        <v>0</v>
      </c>
      <c r="D30" s="249">
        <f t="shared" si="2"/>
        <v>0</v>
      </c>
      <c r="E30" s="249">
        <f t="shared" si="3"/>
        <v>1</v>
      </c>
      <c r="F30" s="158">
        <f t="shared" si="4"/>
        <v>1</v>
      </c>
      <c r="G30" s="250" t="str">
        <f>IF(A30&lt;&gt;"", 'Sales (Итоги оценки)'!$C$4, "")</f>
        <v>P2P платформа</v>
      </c>
      <c r="H30" s="249">
        <f t="shared" si="5"/>
        <v>1</v>
      </c>
      <c r="I30" s="251">
        <f>IF(OR(ISBLANK('Оценка'!F40), ISBLANK('Оценка'!G40)), "", 
(AVERAGE(
  (
    ('Оценка'!F40 + 4*AVERAGE('Оценка'!F40:G40) + 'Оценка'!G40)/6 - 
    2*(('Оценка'!G40 - 'Оценка'!F40)/6)
  )/5 , 
  (
    ('Оценка'!F40 + 4*AVERAGE('Оценка'!F40:G40) + 'Оценка'!G40)/6 + 
    2*(('Оценка'!G40 - 'Оценка'!F40)/6)
  )/5
) * 
(
  (
    ('PM (Расчеты)'!$C$22/8 + 'PM (Расчеты)'!$C$23/40) + 
    'PM (Расчеты)'!$C$21/100 + 'PM (Расчеты)'!$C$25/100 + 
    'PM (Расчеты)'!$C$26/100
  ) + 1
)))
 * 8 * 60 * 60
</f>
        <v>34560</v>
      </c>
      <c r="J30" s="252" t="str">
        <f>'Оценка'!B44</f>
        <v>Backend</v>
      </c>
      <c r="K30" s="253">
        <f t="shared" si="6"/>
        <v>46121</v>
      </c>
      <c r="L30" s="253">
        <f t="shared" si="7"/>
        <v>46130.6</v>
      </c>
    </row>
    <row r="31">
      <c r="A31" s="247" t="str">
        <f>'Оценка'!C45</f>
        <v>Разработка API</v>
      </c>
      <c r="B31" s="247" t="str">
        <f>'Оценка'!D45</f>
        <v>CRUD реквизитов, передача в сделке после депозита</v>
      </c>
      <c r="C31" s="249">
        <f t="shared" si="1"/>
        <v>0</v>
      </c>
      <c r="D31" s="249">
        <f t="shared" si="2"/>
        <v>0</v>
      </c>
      <c r="E31" s="249">
        <f t="shared" si="3"/>
        <v>1</v>
      </c>
      <c r="F31" s="158">
        <f t="shared" si="4"/>
        <v>1</v>
      </c>
      <c r="G31" s="250" t="str">
        <f>IF(A31&lt;&gt;"", 'Sales (Итоги оценки)'!$C$4, "")</f>
        <v>P2P платформа</v>
      </c>
      <c r="H31" s="249">
        <f t="shared" si="5"/>
        <v>1</v>
      </c>
      <c r="I31" s="251">
        <f>IF(OR(ISBLANK('Оценка'!F41), ISBLANK('Оценка'!G41)), "", 
(AVERAGE(
  (
    ('Оценка'!F41 + 4*AVERAGE('Оценка'!F41:G41) + 'Оценка'!G41)/6 - 
    2*(('Оценка'!G41 - 'Оценка'!F41)/6)
  )/5 , 
  (
    ('Оценка'!F41 + 4*AVERAGE('Оценка'!F41:G41) + 'Оценка'!G41)/6 + 
    2*(('Оценка'!G41 - 'Оценка'!F41)/6)
  )/5
) * 
(
  (
    ('PM (Расчеты)'!$C$22/8 + 'PM (Расчеты)'!$C$23/40) + 
    'PM (Расчеты)'!$C$21/100 + 'PM (Расчеты)'!$C$25/100 + 
    'PM (Расчеты)'!$C$26/100
  ) + 1
)))
 * 8 * 60 * 60
</f>
        <v>36864</v>
      </c>
      <c r="J31" s="252" t="str">
        <f>'Оценка'!B45</f>
        <v>Backend</v>
      </c>
      <c r="K31" s="253">
        <f t="shared" si="6"/>
        <v>46121</v>
      </c>
      <c r="L31" s="253">
        <f t="shared" si="7"/>
        <v>46131.24</v>
      </c>
    </row>
    <row r="32">
      <c r="A32" s="247" t="str">
        <f>'Оценка'!C46</f>
        <v>Backend (Monolith): Dispute Module</v>
      </c>
      <c r="B32" s="247" t="str">
        <f>'Оценка'!D46</f>
        <v/>
      </c>
      <c r="C32" s="249">
        <f t="shared" si="1"/>
        <v>0</v>
      </c>
      <c r="D32" s="249">
        <f t="shared" si="2"/>
        <v>0</v>
      </c>
      <c r="E32" s="249">
        <f t="shared" si="3"/>
        <v>1</v>
      </c>
      <c r="F32" s="158">
        <f t="shared" si="4"/>
        <v>1</v>
      </c>
      <c r="G32" s="250" t="str">
        <f>IF(A32&lt;&gt;"", 'Sales (Итоги оценки)'!$C$4, "")</f>
        <v>P2P платформа</v>
      </c>
      <c r="H32" s="249">
        <f t="shared" si="5"/>
        <v>1</v>
      </c>
      <c r="I32" s="251">
        <f>IF(OR(ISBLANK('Оценка'!F42), ISBLANK('Оценка'!G42)), "", 
(AVERAGE(
  (
    ('Оценка'!F42 + 4*AVERAGE('Оценка'!F42:G42) + 'Оценка'!G42)/6 - 
    2*(('Оценка'!G42 - 'Оценка'!F42)/6)
  )/5 , 
  (
    ('Оценка'!F42 + 4*AVERAGE('Оценка'!F42:G42) + 'Оценка'!G42)/6 + 
    2*(('Оценка'!G42 - 'Оценка'!F42)/6)
  )/5
) * 
(
  (
    ('PM (Расчеты)'!$C$22/8 + 'PM (Расчеты)'!$C$23/40) + 
    'PM (Расчеты)'!$C$21/100 + 'PM (Расчеты)'!$C$25/100 + 
    'PM (Расчеты)'!$C$26/100
  ) + 1
)))
 * 8 * 60 * 60
</f>
        <v>36864</v>
      </c>
      <c r="J32" s="252" t="str">
        <f>'Оценка'!B46</f>
        <v/>
      </c>
      <c r="K32" s="253">
        <f t="shared" si="6"/>
        <v>46121</v>
      </c>
      <c r="L32" s="253">
        <f t="shared" si="7"/>
        <v>46131.24</v>
      </c>
    </row>
    <row r="33">
      <c r="A33" s="247" t="str">
        <f>'Оценка'!C47</f>
        <v>Создание сущностей</v>
      </c>
      <c r="B33" s="247" t="str">
        <f>'Оценка'!D47</f>
        <v>Dispute — таблицы, статусы</v>
      </c>
      <c r="C33" s="249">
        <f t="shared" si="1"/>
        <v>0</v>
      </c>
      <c r="D33" s="249">
        <f t="shared" si="2"/>
        <v>0</v>
      </c>
      <c r="E33" s="249">
        <f t="shared" si="3"/>
        <v>1</v>
      </c>
      <c r="F33" s="158">
        <f t="shared" si="4"/>
        <v>1</v>
      </c>
      <c r="G33" s="250" t="str">
        <f>IF(A33&lt;&gt;"", 'Sales (Итоги оценки)'!$C$4, "")</f>
        <v>P2P платформа</v>
      </c>
      <c r="H33" s="249">
        <f t="shared" si="5"/>
        <v>1</v>
      </c>
      <c r="I33" s="251">
        <f>IF(OR(ISBLANK('Оценка'!F43), ISBLANK('Оценка'!G43)), "", 
(AVERAGE(
  (
    ('Оценка'!F43 + 4*AVERAGE('Оценка'!F43:G43) + 'Оценка'!G43)/6 - 
    2*(('Оценка'!G43 - 'Оценка'!F43)/6)
  )/5 , 
  (
    ('Оценка'!F43 + 4*AVERAGE('Оценка'!F43:G43) + 'Оценка'!G43)/6 + 
    2*(('Оценка'!G43 - 'Оценка'!F43)/6)
  )/5
) * 
(
  (
    ('PM (Расчеты)'!$C$22/8 + 'PM (Расчеты)'!$C$23/40) + 
    'PM (Расчеты)'!$C$21/100 + 'PM (Расчеты)'!$C$25/100 + 
    'PM (Расчеты)'!$C$26/100
  ) + 1
)))
 * 8 * 60 * 60
</f>
        <v>0</v>
      </c>
      <c r="J33" s="252" t="str">
        <f>'Оценка'!B47</f>
        <v>Backend</v>
      </c>
      <c r="K33" s="253">
        <f t="shared" si="6"/>
        <v>46121</v>
      </c>
      <c r="L33" s="253">
        <f t="shared" si="7"/>
        <v>46121</v>
      </c>
    </row>
    <row r="34">
      <c r="A34" s="247" t="str">
        <f>'Оценка'!C48</f>
        <v>Разработка API</v>
      </c>
      <c r="B34" s="247" t="str">
        <f>'Оценка'!D48</f>
        <v>Создание диспута, добавление доказательств, продление блокировки</v>
      </c>
      <c r="C34" s="249">
        <f t="shared" si="1"/>
        <v>0</v>
      </c>
      <c r="D34" s="249">
        <f t="shared" si="2"/>
        <v>0</v>
      </c>
      <c r="E34" s="249">
        <f t="shared" si="3"/>
        <v>1</v>
      </c>
      <c r="F34" s="158">
        <f t="shared" si="4"/>
        <v>1</v>
      </c>
      <c r="G34" s="250" t="str">
        <f>IF(A34&lt;&gt;"", 'Sales (Итоги оценки)'!$C$4, "")</f>
        <v>P2P платформа</v>
      </c>
      <c r="H34" s="249">
        <f t="shared" si="5"/>
        <v>1</v>
      </c>
      <c r="I34" s="251">
        <f>IF(OR(ISBLANK('Оценка'!F44), ISBLANK('Оценка'!G44)), "", 
(AVERAGE(
  (
    ('Оценка'!F44 + 4*AVERAGE('Оценка'!F44:G44) + 'Оценка'!G44)/6 - 
    2*(('Оценка'!G44 - 'Оценка'!F44)/6)
  )/5 , 
  (
    ('Оценка'!F44 + 4*AVERAGE('Оценка'!F44:G44) + 'Оценка'!G44)/6 + 
    2*(('Оценка'!G44 - 'Оценка'!F44)/6)
  )/5
) * 
(
  (
    ('PM (Расчеты)'!$C$22/8 + 'PM (Расчеты)'!$C$23/40) + 
    'PM (Расчеты)'!$C$21/100 + 'PM (Расчеты)'!$C$25/100 + 
    'PM (Расчеты)'!$C$26/100
  ) + 1
)))
 * 8 * 60 * 60
</f>
        <v>6912</v>
      </c>
      <c r="J34" s="252" t="str">
        <f>'Оценка'!B48</f>
        <v>Backend</v>
      </c>
      <c r="K34" s="253">
        <f t="shared" si="6"/>
        <v>46121</v>
      </c>
      <c r="L34" s="253">
        <f t="shared" si="7"/>
        <v>46122.92</v>
      </c>
    </row>
    <row r="35">
      <c r="A35" s="247" t="str">
        <f>'Оценка'!C49</f>
        <v>Разработка Admin API</v>
      </c>
      <c r="B35" s="247" t="str">
        <f>'Оценка'!D49</f>
        <v>Список диспутов, просмотр, принятие решения, вызов resolveDispute</v>
      </c>
      <c r="C35" s="249">
        <f t="shared" si="1"/>
        <v>0</v>
      </c>
      <c r="D35" s="249">
        <f t="shared" si="2"/>
        <v>0</v>
      </c>
      <c r="E35" s="249">
        <f t="shared" si="3"/>
        <v>1</v>
      </c>
      <c r="F35" s="158">
        <f t="shared" si="4"/>
        <v>1</v>
      </c>
      <c r="G35" s="250" t="str">
        <f>IF(A35&lt;&gt;"", 'Sales (Итоги оценки)'!$C$4, "")</f>
        <v>P2P платформа</v>
      </c>
      <c r="H35" s="249">
        <f t="shared" si="5"/>
        <v>1</v>
      </c>
      <c r="I35" s="251">
        <f>IF(OR(ISBLANK('Оценка'!F45), ISBLANK('Оценка'!G45)), "", 
(AVERAGE(
  (
    ('Оценка'!F45 + 4*AVERAGE('Оценка'!F45:G45) + 'Оценка'!G45)/6 - 
    2*(('Оценка'!G45 - 'Оценка'!F45)/6)
  )/5 , 
  (
    ('Оценка'!F45 + 4*AVERAGE('Оценка'!F45:G45) + 'Оценка'!G45)/6 + 
    2*(('Оценка'!G45 - 'Оценка'!F45)/6)
  )/5
) * 
(
  (
    ('PM (Расчеты)'!$C$22/8 + 'PM (Расчеты)'!$C$23/40) + 
    'PM (Расчеты)'!$C$21/100 + 'PM (Расчеты)'!$C$25/100 + 
    'PM (Расчеты)'!$C$26/100
  ) + 1
)))
 * 8 * 60 * 60
</f>
        <v>9216</v>
      </c>
      <c r="J35" s="252" t="str">
        <f>'Оценка'!B49</f>
        <v>Backend</v>
      </c>
      <c r="K35" s="253">
        <f t="shared" si="6"/>
        <v>46121</v>
      </c>
      <c r="L35" s="253">
        <f t="shared" si="7"/>
        <v>46123.56</v>
      </c>
    </row>
    <row r="36">
      <c r="A36" s="247" t="str">
        <f>'Оценка'!C50</f>
        <v>Backend (Monolith): rating Module</v>
      </c>
      <c r="B36" s="247" t="str">
        <f>'Оценка'!D50</f>
        <v/>
      </c>
      <c r="C36" s="249">
        <f t="shared" si="1"/>
        <v>0</v>
      </c>
      <c r="D36" s="249">
        <f t="shared" si="2"/>
        <v>0</v>
      </c>
      <c r="E36" s="249">
        <f t="shared" si="3"/>
        <v>1</v>
      </c>
      <c r="F36" s="158">
        <f t="shared" si="4"/>
        <v>1</v>
      </c>
      <c r="G36" s="250" t="str">
        <f>IF(A36&lt;&gt;"", 'Sales (Итоги оценки)'!$C$4, "")</f>
        <v>P2P платформа</v>
      </c>
      <c r="H36" s="249">
        <f t="shared" si="5"/>
        <v>1</v>
      </c>
      <c r="I36" s="251">
        <f>IF(OR(ISBLANK('Оценка'!F46), ISBLANK('Оценка'!G46)), "", 
(AVERAGE(
  (
    ('Оценка'!F46 + 4*AVERAGE('Оценка'!F46:G46) + 'Оценка'!G46)/6 - 
    2*(('Оценка'!G46 - 'Оценка'!F46)/6)
  )/5 , 
  (
    ('Оценка'!F46 + 4*AVERAGE('Оценка'!F46:G46) + 'Оценка'!G46)/6 + 
    2*(('Оценка'!G46 - 'Оценка'!F46)/6)
  )/5
) * 
(
  (
    ('PM (Расчеты)'!$C$22/8 + 'PM (Расчеты)'!$C$23/40) + 
    'PM (Расчеты)'!$C$21/100 + 'PM (Расчеты)'!$C$25/100 + 
    'PM (Расчеты)'!$C$26/100
  ) + 1
)))
 * 8 * 60 * 60
</f>
        <v>0</v>
      </c>
      <c r="J36" s="252" t="str">
        <f>'Оценка'!B50</f>
        <v/>
      </c>
      <c r="K36" s="253">
        <f t="shared" si="6"/>
        <v>46121</v>
      </c>
      <c r="L36" s="253">
        <f t="shared" si="7"/>
        <v>46121</v>
      </c>
    </row>
    <row r="37">
      <c r="A37" s="247" t="str">
        <f>'Оценка'!C51</f>
        <v>Создание сущностей</v>
      </c>
      <c r="B37" s="247" t="str">
        <f>'Оценка'!D51</f>
        <v>Rating, RatingHistory</v>
      </c>
      <c r="C37" s="249">
        <f t="shared" si="1"/>
        <v>0</v>
      </c>
      <c r="D37" s="249">
        <f t="shared" si="2"/>
        <v>0</v>
      </c>
      <c r="E37" s="249">
        <f t="shared" si="3"/>
        <v>1</v>
      </c>
      <c r="F37" s="158">
        <f t="shared" si="4"/>
        <v>1</v>
      </c>
      <c r="G37" s="250" t="str">
        <f>IF(A37&lt;&gt;"", 'Sales (Итоги оценки)'!$C$4, "")</f>
        <v>P2P платформа</v>
      </c>
      <c r="H37" s="249">
        <f t="shared" si="5"/>
        <v>1</v>
      </c>
      <c r="I37" s="251">
        <f>IF(OR(ISBLANK('Оценка'!F47), ISBLANK('Оценка'!G47)), "", 
(AVERAGE(
  (
    ('Оценка'!F47 + 4*AVERAGE('Оценка'!F47:G47) + 'Оценка'!G47)/6 - 
    2*(('Оценка'!G47 - 'Оценка'!F47)/6)
  )/5 , 
  (
    ('Оценка'!F47 + 4*AVERAGE('Оценка'!F47:G47) + 'Оценка'!G47)/6 + 
    2*(('Оценка'!G47 - 'Оценка'!F47)/6)
  )/5
) * 
(
  (
    ('PM (Расчеты)'!$C$22/8 + 'PM (Расчеты)'!$C$23/40) + 
    'PM (Расчеты)'!$C$21/100 + 'PM (Расчеты)'!$C$25/100 + 
    'PM (Расчеты)'!$C$26/100
  ) + 1
)))
 * 8 * 60 * 60
</f>
        <v>9216</v>
      </c>
      <c r="J37" s="252" t="str">
        <f>'Оценка'!B51</f>
        <v>Backend</v>
      </c>
      <c r="K37" s="253">
        <f t="shared" si="6"/>
        <v>46121</v>
      </c>
      <c r="L37" s="253">
        <f t="shared" si="7"/>
        <v>46123.56</v>
      </c>
    </row>
    <row r="38">
      <c r="A38" s="247" t="str">
        <f>'Оценка'!C52</f>
        <v>Разработка Rating Service</v>
      </c>
      <c r="B38" s="247" t="str">
        <f>'Оценка'!D52</f>
        <v>Расчет рейтинга (сделки, отмены, диспуты, объем)</v>
      </c>
      <c r="C38" s="249">
        <f t="shared" si="1"/>
        <v>0</v>
      </c>
      <c r="D38" s="249">
        <f t="shared" si="2"/>
        <v>0</v>
      </c>
      <c r="E38" s="249">
        <f t="shared" si="3"/>
        <v>1</v>
      </c>
      <c r="F38" s="158">
        <f t="shared" si="4"/>
        <v>1</v>
      </c>
      <c r="G38" s="250" t="str">
        <f>IF(A38&lt;&gt;"", 'Sales (Итоги оценки)'!$C$4, "")</f>
        <v>P2P платформа</v>
      </c>
      <c r="H38" s="249">
        <f t="shared" si="5"/>
        <v>1</v>
      </c>
      <c r="I38" s="251">
        <f>IF(OR(ISBLANK('Оценка'!F48), ISBLANK('Оценка'!G48)), "", 
(AVERAGE(
  (
    ('Оценка'!F48 + 4*AVERAGE('Оценка'!F48:G48) + 'Оценка'!G48)/6 - 
    2*(('Оценка'!G48 - 'Оценка'!F48)/6)
  )/5 , 
  (
    ('Оценка'!F48 + 4*AVERAGE('Оценка'!F48:G48) + 'Оценка'!G48)/6 + 
    2*(('Оценка'!G48 - 'Оценка'!F48)/6)
  )/5
) * 
(
  (
    ('PM (Расчеты)'!$C$22/8 + 'PM (Расчеты)'!$C$23/40) + 
    'PM (Расчеты)'!$C$21/100 + 'PM (Расчеты)'!$C$25/100 + 
    'PM (Расчеты)'!$C$26/100
  ) + 1
)))
 * 8 * 60 * 60
</f>
        <v>23040</v>
      </c>
      <c r="J38" s="252" t="str">
        <f>'Оценка'!B52</f>
        <v>Backend</v>
      </c>
      <c r="K38" s="253">
        <f t="shared" si="6"/>
        <v>46121</v>
      </c>
      <c r="L38" s="253">
        <f t="shared" si="7"/>
        <v>46127.4</v>
      </c>
    </row>
    <row r="39">
      <c r="A39" s="247" t="str">
        <f>'Оценка'!C53</f>
        <v>Backend (Monolith): Analytics Module</v>
      </c>
      <c r="B39" s="247" t="str">
        <f>'Оценка'!D53</f>
        <v/>
      </c>
      <c r="C39" s="249">
        <f t="shared" si="1"/>
        <v>0</v>
      </c>
      <c r="D39" s="249">
        <f t="shared" si="2"/>
        <v>0</v>
      </c>
      <c r="E39" s="249">
        <f t="shared" si="3"/>
        <v>1</v>
      </c>
      <c r="F39" s="158">
        <f t="shared" si="4"/>
        <v>1</v>
      </c>
      <c r="G39" s="250" t="str">
        <f>IF(A39&lt;&gt;"", 'Sales (Итоги оценки)'!$C$4, "")</f>
        <v>P2P платформа</v>
      </c>
      <c r="H39" s="249">
        <f t="shared" si="5"/>
        <v>1</v>
      </c>
      <c r="I39" s="251">
        <f>IF(OR(ISBLANK('Оценка'!F49), ISBLANK('Оценка'!G49)), "", 
(AVERAGE(
  (
    ('Оценка'!F49 + 4*AVERAGE('Оценка'!F49:G49) + 'Оценка'!G49)/6 - 
    2*(('Оценка'!G49 - 'Оценка'!F49)/6)
  )/5 , 
  (
    ('Оценка'!F49 + 4*AVERAGE('Оценка'!F49:G49) + 'Оценка'!G49)/6 + 
    2*(('Оценка'!G49 - 'Оценка'!F49)/6)
  )/5
) * 
(
  (
    ('PM (Расчеты)'!$C$22/8 + 'PM (Расчеты)'!$C$23/40) + 
    'PM (Расчеты)'!$C$21/100 + 'PM (Расчеты)'!$C$25/100 + 
    'PM (Расчеты)'!$C$26/100
  ) + 1
)))
 * 8 * 60 * 60
</f>
        <v>23040</v>
      </c>
      <c r="J39" s="252" t="str">
        <f>'Оценка'!B53</f>
        <v/>
      </c>
      <c r="K39" s="253">
        <f t="shared" si="6"/>
        <v>46121</v>
      </c>
      <c r="L39" s="253">
        <f t="shared" si="7"/>
        <v>46127.4</v>
      </c>
    </row>
    <row r="40">
      <c r="A40" s="247" t="str">
        <f>'Оценка'!C54</f>
        <v>Подключение стороннего сервиса аналитики</v>
      </c>
      <c r="B40" s="247" t="str">
        <f>'Оценка'!D54</f>
        <v>Redash или др</v>
      </c>
      <c r="C40" s="249">
        <f t="shared" si="1"/>
        <v>0</v>
      </c>
      <c r="D40" s="249">
        <f t="shared" si="2"/>
        <v>0</v>
      </c>
      <c r="E40" s="249">
        <f t="shared" si="3"/>
        <v>1</v>
      </c>
      <c r="F40" s="158">
        <f t="shared" si="4"/>
        <v>1</v>
      </c>
      <c r="G40" s="250" t="str">
        <f>IF(A40&lt;&gt;"", 'Sales (Итоги оценки)'!$C$4, "")</f>
        <v>P2P платформа</v>
      </c>
      <c r="H40" s="249">
        <f t="shared" si="5"/>
        <v>1</v>
      </c>
      <c r="I40" s="251">
        <f>IF(OR(ISBLANK('Оценка'!F50), ISBLANK('Оценка'!G50)), "", 
(AVERAGE(
  (
    ('Оценка'!F50 + 4*AVERAGE('Оценка'!F50:G50) + 'Оценка'!G50)/6 - 
    2*(('Оценка'!G50 - 'Оценка'!F50)/6)
  )/5 , 
  (
    ('Оценка'!F50 + 4*AVERAGE('Оценка'!F50:G50) + 'Оценка'!G50)/6 + 
    2*(('Оценка'!G50 - 'Оценка'!F50)/6)
  )/5
) * 
(
  (
    ('PM (Расчеты)'!$C$22/8 + 'PM (Расчеты)'!$C$23/40) + 
    'PM (Расчеты)'!$C$21/100 + 'PM (Расчеты)'!$C$25/100 + 
    'PM (Расчеты)'!$C$26/100
  ) + 1
)))
 * 8 * 60 * 60
</f>
        <v>0</v>
      </c>
      <c r="J40" s="252" t="str">
        <f>'Оценка'!B54</f>
        <v>Backend</v>
      </c>
      <c r="K40" s="253">
        <f t="shared" si="6"/>
        <v>46121</v>
      </c>
      <c r="L40" s="253">
        <f t="shared" si="7"/>
        <v>46121</v>
      </c>
    </row>
    <row r="41">
      <c r="A41" s="247" t="str">
        <f t="shared" ref="A41:B41" si="8">#REF!</f>
        <v>#REF!</v>
      </c>
      <c r="B41" s="247" t="str">
        <f t="shared" si="8"/>
        <v>#REF!</v>
      </c>
      <c r="C41" s="249" t="str">
        <f t="shared" si="1"/>
        <v>#REF!</v>
      </c>
      <c r="D41" s="249" t="str">
        <f t="shared" si="2"/>
        <v>#REF!</v>
      </c>
      <c r="E41" s="249" t="str">
        <f t="shared" si="3"/>
        <v>#REF!</v>
      </c>
      <c r="F41" s="158" t="str">
        <f t="shared" si="4"/>
        <v>#REF!</v>
      </c>
      <c r="G41" s="247" t="str">
        <f>IF(A41&lt;&gt;"", 'Sales (Итоги оценки)'!$C$4, "")</f>
        <v>#REF!</v>
      </c>
      <c r="H41" s="249" t="str">
        <f t="shared" si="5"/>
        <v>#REF!</v>
      </c>
      <c r="I41" s="251">
        <f>IF(OR(ISBLANK('Оценка'!F51), ISBLANK('Оценка'!G51)), "", 
(AVERAGE(
  (
    ('Оценка'!F51 + 4*AVERAGE('Оценка'!F51:G51) + 'Оценка'!G51)/6 - 
    2*(('Оценка'!G51 - 'Оценка'!F51)/6)
  )/5 , 
  (
    ('Оценка'!F51 + 4*AVERAGE('Оценка'!F51:G51) + 'Оценка'!G51)/6 + 
    2*(('Оценка'!G51 - 'Оценка'!F51)/6)
  )/5
) * 
(
  (
    ('PM (Расчеты)'!$C$22/8 + 'PM (Расчеты)'!$C$23/40) + 
    'PM (Расчеты)'!$C$21/100 + 'PM (Расчеты)'!$C$25/100 + 
    'PM (Расчеты)'!$C$26/100
  ) + 1
)))
 * 8 * 60 * 60
</f>
        <v>9216</v>
      </c>
      <c r="J41" s="252" t="str">
        <f t="shared" ref="J41:J42" si="10">#REF!</f>
        <v>#REF!</v>
      </c>
      <c r="K41" s="253" t="str">
        <f t="shared" si="6"/>
        <v>#REF!</v>
      </c>
      <c r="L41" s="253" t="str">
        <f t="shared" si="7"/>
        <v>#REF!</v>
      </c>
    </row>
    <row r="42">
      <c r="A42" s="247" t="str">
        <f t="shared" ref="A42:B42" si="9">#REF!</f>
        <v>#REF!</v>
      </c>
      <c r="B42" s="247" t="str">
        <f t="shared" si="9"/>
        <v>#REF!</v>
      </c>
      <c r="C42" s="249" t="str">
        <f t="shared" si="1"/>
        <v>#REF!</v>
      </c>
      <c r="D42" s="249" t="str">
        <f t="shared" si="2"/>
        <v>#REF!</v>
      </c>
      <c r="E42" s="249" t="str">
        <f t="shared" si="3"/>
        <v>#REF!</v>
      </c>
      <c r="F42" s="158" t="str">
        <f t="shared" si="4"/>
        <v>#REF!</v>
      </c>
      <c r="G42" s="247" t="str">
        <f>IF(A42&lt;&gt;"", 'Sales (Итоги оценки)'!$C$4, "")</f>
        <v>#REF!</v>
      </c>
      <c r="H42" s="249" t="str">
        <f t="shared" si="5"/>
        <v>#REF!</v>
      </c>
      <c r="I42" s="251">
        <f>IF(OR(ISBLANK('Оценка'!F52), ISBLANK('Оценка'!G52)), "", 
(AVERAGE(
  (
    ('Оценка'!F52 + 4*AVERAGE('Оценка'!F52:G52) + 'Оценка'!G52)/6 - 
    2*(('Оценка'!G52 - 'Оценка'!F52)/6)
  )/5 , 
  (
    ('Оценка'!F52 + 4*AVERAGE('Оценка'!F52:G52) + 'Оценка'!G52)/6 + 
    2*(('Оценка'!G52 - 'Оценка'!F52)/6)
  )/5
) * 
(
  (
    ('PM (Расчеты)'!$C$22/8 + 'PM (Расчеты)'!$C$23/40) + 
    'PM (Расчеты)'!$C$21/100 + 'PM (Расчеты)'!$C$25/100 + 
    'PM (Расчеты)'!$C$26/100
  ) + 1
)))
 * 8 * 60 * 60
</f>
        <v>13824</v>
      </c>
      <c r="J42" s="252" t="str">
        <f t="shared" si="10"/>
        <v>#REF!</v>
      </c>
      <c r="K42" s="253" t="str">
        <f t="shared" si="6"/>
        <v>#REF!</v>
      </c>
      <c r="L42" s="253" t="str">
        <f t="shared" si="7"/>
        <v>#REF!</v>
      </c>
    </row>
    <row r="43">
      <c r="A43" s="247" t="str">
        <f>'Оценка'!C55</f>
        <v>Backend (Monolith): Referral Module</v>
      </c>
      <c r="B43" s="247" t="str">
        <f>'Оценка'!D55</f>
        <v/>
      </c>
      <c r="C43" s="249">
        <f t="shared" si="1"/>
        <v>0</v>
      </c>
      <c r="D43" s="249">
        <f t="shared" si="2"/>
        <v>0</v>
      </c>
      <c r="E43" s="249">
        <f t="shared" si="3"/>
        <v>1</v>
      </c>
      <c r="F43" s="158">
        <f t="shared" si="4"/>
        <v>1</v>
      </c>
      <c r="G43" s="250" t="str">
        <f>IF(A43&lt;&gt;"", 'Sales (Итоги оценки)'!$C$4, "")</f>
        <v>P2P платформа</v>
      </c>
      <c r="H43" s="249">
        <f t="shared" si="5"/>
        <v>1</v>
      </c>
      <c r="I43" s="251">
        <f>IF(OR(ISBLANK('Оценка'!F53), ISBLANK('Оценка'!G53)), "", 
(AVERAGE(
  (
    ('Оценка'!F53 + 4*AVERAGE('Оценка'!F53:G53) + 'Оценка'!G53)/6 - 
    2*(('Оценка'!G53 - 'Оценка'!F53)/6)
  )/5 , 
  (
    ('Оценка'!F53 + 4*AVERAGE('Оценка'!F53:G53) + 'Оценка'!G53)/6 + 
    2*(('Оценка'!G53 - 'Оценка'!F53)/6)
  )/5
) * 
(
  (
    ('PM (Расчеты)'!$C$22/8 + 'PM (Расчеты)'!$C$23/40) + 
    'PM (Расчеты)'!$C$21/100 + 'PM (Расчеты)'!$C$25/100 + 
    'PM (Расчеты)'!$C$26/100
  ) + 1
)))
 * 8 * 60 * 60
</f>
        <v>0</v>
      </c>
      <c r="J43" s="252" t="str">
        <f>'Оценка'!B55</f>
        <v/>
      </c>
      <c r="K43" s="253">
        <f t="shared" si="6"/>
        <v>46121</v>
      </c>
      <c r="L43" s="253">
        <f t="shared" si="7"/>
        <v>46121</v>
      </c>
    </row>
    <row r="44">
      <c r="A44" s="247" t="str">
        <f>'Оценка'!C56</f>
        <v>API генерации реферальной ссылки</v>
      </c>
      <c r="B44" s="254" t="str">
        <f>'Оценка'!D56</f>
        <v>Уникальный код, URL</v>
      </c>
      <c r="C44" s="249">
        <f t="shared" si="1"/>
        <v>0</v>
      </c>
      <c r="D44" s="249">
        <f t="shared" si="2"/>
        <v>0</v>
      </c>
      <c r="E44" s="249">
        <f t="shared" si="3"/>
        <v>1</v>
      </c>
      <c r="F44" s="158">
        <f t="shared" si="4"/>
        <v>1</v>
      </c>
      <c r="G44" s="250" t="str">
        <f>IF(A44&lt;&gt;"", 'Sales (Итоги оценки)'!$C$4, "")</f>
        <v>P2P платформа</v>
      </c>
      <c r="H44" s="249">
        <f t="shared" si="5"/>
        <v>1</v>
      </c>
      <c r="I44" s="251">
        <f>IF(OR(ISBLANK('Оценка'!F54), ISBLANK('Оценка'!G54)), "", 
(AVERAGE(
  (
    ('Оценка'!F54 + 4*AVERAGE('Оценка'!F54:G54) + 'Оценка'!G54)/6 - 
    2*(('Оценка'!G54 - 'Оценка'!F54)/6)
  )/5 , 
  (
    ('Оценка'!F54 + 4*AVERAGE('Оценка'!F54:G54) + 'Оценка'!G54)/6 + 
    2*(('Оценка'!G54 - 'Оценка'!F54)/6)
  )/5
) * 
(
  (
    ('PM (Расчеты)'!$C$22/8 + 'PM (Расчеты)'!$C$23/40) + 
    'PM (Расчеты)'!$C$21/100 + 'PM (Расчеты)'!$C$25/100 + 
    'PM (Расчеты)'!$C$26/100
  ) + 1
)))
 * 8 * 60 * 60
</f>
        <v>6912</v>
      </c>
      <c r="J44" s="252" t="str">
        <f>'Оценка'!B56</f>
        <v>Backend</v>
      </c>
      <c r="K44" s="253">
        <f t="shared" si="6"/>
        <v>46121</v>
      </c>
      <c r="L44" s="253">
        <f t="shared" si="7"/>
        <v>46122.92</v>
      </c>
    </row>
    <row r="45">
      <c r="A45" s="254" t="str">
        <f>'Оценка'!C57</f>
        <v>API установки кошелька комиссий</v>
      </c>
      <c r="B45" s="247" t="str">
        <f>'Оценка'!D57</f>
        <v>Валидация адреса</v>
      </c>
      <c r="C45" s="249">
        <f t="shared" si="1"/>
        <v>0</v>
      </c>
      <c r="D45" s="249">
        <f t="shared" si="2"/>
        <v>0</v>
      </c>
      <c r="E45" s="249">
        <f t="shared" si="3"/>
        <v>1</v>
      </c>
      <c r="F45" s="158">
        <f t="shared" si="4"/>
        <v>1</v>
      </c>
      <c r="G45" s="250" t="str">
        <f>IF(A45&lt;&gt;"", 'Sales (Итоги оценки)'!$C$4, "")</f>
        <v>P2P платформа</v>
      </c>
      <c r="H45" s="249">
        <f t="shared" si="5"/>
        <v>1</v>
      </c>
      <c r="I45" s="251" t="str">
        <f>IF(OR(ISBLANK(#REF!), ISBLANK(#REF!)), "", 
(AVERAGE(
  (
    (#REF! + 4*AVERAGE(#REF!) + #REF!)/6 - 
    2*((#REF! - #REF!)/6)
  )/5 , 
  (
    (#REF! + 4*AVERAGE(#REF!) + #REF!)/6 + 
    2*((#REF! - #REF!)/6)
  )/5
) * 
(
  (
    ('PM (Расчеты)'!$C$22/8 + 'PM (Расчеты)'!$C$23/40) + 
    'PM (Расчеты)'!$C$21/100 + 'PM (Расчеты)'!$C$25/100 + 
    'PM (Расчеты)'!$C$26/100
  ) + 1
)))
 * 8 * 60 * 60
</f>
        <v>#REF!</v>
      </c>
      <c r="J45" s="252" t="str">
        <f>'Оценка'!B57</f>
        <v>Backend</v>
      </c>
      <c r="K45" s="253">
        <f t="shared" si="6"/>
        <v>46121</v>
      </c>
      <c r="L45" s="253" t="str">
        <f t="shared" si="7"/>
        <v>#REF!</v>
      </c>
    </row>
    <row r="46">
      <c r="A46" s="254" t="str">
        <f>'Оценка'!C58</f>
        <v>Привязка при регистрации</v>
      </c>
      <c r="B46" s="247" t="str">
        <f>'Оценка'!D58</f>
        <v>Парсинг ?ref=, сохранение referrer_id/wallet</v>
      </c>
      <c r="C46" s="249">
        <f t="shared" si="1"/>
        <v>0</v>
      </c>
      <c r="D46" s="249">
        <f t="shared" si="2"/>
        <v>0</v>
      </c>
      <c r="E46" s="249">
        <f t="shared" si="3"/>
        <v>1</v>
      </c>
      <c r="F46" s="158">
        <f t="shared" si="4"/>
        <v>1</v>
      </c>
      <c r="G46" s="250" t="str">
        <f>IF(A46&lt;&gt;"", 'Sales (Итоги оценки)'!$C$4, "")</f>
        <v>P2P платформа</v>
      </c>
      <c r="H46" s="249">
        <f t="shared" si="5"/>
        <v>1</v>
      </c>
      <c r="I46" s="251" t="str">
        <f>IF(OR(ISBLANK(#REF!), ISBLANK(#REF!)), "", 
(AVERAGE(
  (
    (#REF! + 4*AVERAGE(#REF!) + #REF!)/6 - 
    2*((#REF! - #REF!)/6)
  )/5 , 
  (
    (#REF! + 4*AVERAGE(#REF!) + #REF!)/6 + 
    2*((#REF! - #REF!)/6)
  )/5
) * 
(
  (
    ('PM (Расчеты)'!$C$22/8 + 'PM (Расчеты)'!$C$23/40) + 
    'PM (Расчеты)'!$C$21/100 + 'PM (Расчеты)'!$C$25/100 + 
    'PM (Расчеты)'!$C$26/100
  ) + 1
)))
 * 8 * 60 * 60
</f>
        <v>#REF!</v>
      </c>
      <c r="J46" s="252" t="str">
        <f>'Оценка'!B58</f>
        <v>Backend</v>
      </c>
      <c r="K46" s="253">
        <f t="shared" si="6"/>
        <v>46121</v>
      </c>
      <c r="L46" s="253" t="str">
        <f t="shared" si="7"/>
        <v>#REF!</v>
      </c>
    </row>
    <row r="47">
      <c r="A47" s="254" t="str">
        <f>'Оценка'!C59</f>
        <v>Интеграция со сделками</v>
      </c>
      <c r="B47" s="247" t="str">
        <f>'Оценка'!D59</f>
        <v>Получение referrer_wallet при создании сделки, передача в контракт</v>
      </c>
      <c r="C47" s="249">
        <f t="shared" si="1"/>
        <v>0</v>
      </c>
      <c r="D47" s="249">
        <f t="shared" si="2"/>
        <v>0</v>
      </c>
      <c r="E47" s="249">
        <f t="shared" si="3"/>
        <v>1</v>
      </c>
      <c r="F47" s="158">
        <f t="shared" si="4"/>
        <v>1</v>
      </c>
      <c r="G47" s="250" t="str">
        <f>IF(A47&lt;&gt;"", 'Sales (Итоги оценки)'!$C$4, "")</f>
        <v>P2P платформа</v>
      </c>
      <c r="H47" s="249">
        <f t="shared" si="5"/>
        <v>1</v>
      </c>
      <c r="I47" s="251">
        <f>IF(OR(ISBLANK('Оценка'!F55), ISBLANK('Оценка'!G55)), "", 
(AVERAGE(
  (
    ('Оценка'!F55 + 4*AVERAGE('Оценка'!F55:G55) + 'Оценка'!G55)/6 - 
    2*(('Оценка'!G55 - 'Оценка'!F55)/6)
  )/5 , 
  (
    ('Оценка'!F55 + 4*AVERAGE('Оценка'!F55:G55) + 'Оценка'!G55)/6 + 
    2*(('Оценка'!G55 - 'Оценка'!F55)/6)
  )/5
) * 
(
  (
    ('PM (Расчеты)'!$C$22/8 + 'PM (Расчеты)'!$C$23/40) + 
    'PM (Расчеты)'!$C$21/100 + 'PM (Расчеты)'!$C$25/100 + 
    'PM (Расчеты)'!$C$26/100
  ) + 1
)))
 * 8 * 60 * 60
</f>
        <v>0</v>
      </c>
      <c r="J47" s="252" t="str">
        <f>'Оценка'!B59</f>
        <v>Backend</v>
      </c>
      <c r="K47" s="253">
        <f t="shared" si="6"/>
        <v>46121</v>
      </c>
      <c r="L47" s="253">
        <f t="shared" si="7"/>
        <v>46121</v>
      </c>
    </row>
    <row r="48">
      <c r="A48" s="254" t="str">
        <f>'Оценка'!C60</f>
        <v>Создание сущности ReferralReward</v>
      </c>
      <c r="B48" s="247" t="str">
        <f>'Оценка'!D60</f>
        <v>Хранение истории выплат</v>
      </c>
      <c r="C48" s="249">
        <f t="shared" si="1"/>
        <v>0</v>
      </c>
      <c r="D48" s="249">
        <f t="shared" si="2"/>
        <v>0</v>
      </c>
      <c r="E48" s="249">
        <f t="shared" si="3"/>
        <v>1</v>
      </c>
      <c r="F48" s="158">
        <f t="shared" si="4"/>
        <v>1</v>
      </c>
      <c r="G48" s="250" t="str">
        <f>IF(A48&lt;&gt;"", 'Sales (Итоги оценки)'!$C$4, "")</f>
        <v>P2P платформа</v>
      </c>
      <c r="H48" s="249">
        <f t="shared" si="5"/>
        <v>1</v>
      </c>
      <c r="I48" s="251">
        <f>IF(OR(ISBLANK('Оценка'!F56), ISBLANK('Оценка'!G56)), "", 
(AVERAGE(
  (
    ('Оценка'!F56 + 4*AVERAGE('Оценка'!F56:G56) + 'Оценка'!G56)/6 - 
    2*(('Оценка'!G56 - 'Оценка'!F56)/6)
  )/5 , 
  (
    ('Оценка'!F56 + 4*AVERAGE('Оценка'!F56:G56) + 'Оценка'!G56)/6 + 
    2*(('Оценка'!G56 - 'Оценка'!F56)/6)
  )/5
) * 
(
  (
    ('PM (Расчеты)'!$C$22/8 + 'PM (Расчеты)'!$C$23/40) + 
    'PM (Расчеты)'!$C$21/100 + 'PM (Расчеты)'!$C$25/100 + 
    'PM (Расчеты)'!$C$26/100
  ) + 1
)))
 * 8 * 60 * 60
</f>
        <v>6912</v>
      </c>
      <c r="J48" s="252" t="str">
        <f>'Оценка'!B60</f>
        <v>Backend</v>
      </c>
      <c r="K48" s="253">
        <f t="shared" si="6"/>
        <v>46121</v>
      </c>
      <c r="L48" s="253">
        <f t="shared" si="7"/>
        <v>46122.92</v>
      </c>
    </row>
    <row r="49">
      <c r="A49" s="254" t="str">
        <f>'Оценка'!C61</f>
        <v>API реферальной статистики</v>
      </c>
      <c r="B49" s="247" t="str">
        <f>'Оценка'!D61</f>
        <v>Кол-во рефералов, сделок, сумма выплат, список</v>
      </c>
      <c r="C49" s="249">
        <f t="shared" si="1"/>
        <v>0</v>
      </c>
      <c r="D49" s="249">
        <f t="shared" si="2"/>
        <v>0</v>
      </c>
      <c r="E49" s="249">
        <f t="shared" si="3"/>
        <v>1</v>
      </c>
      <c r="F49" s="158">
        <f t="shared" si="4"/>
        <v>1</v>
      </c>
      <c r="G49" s="250" t="str">
        <f>IF(A49&lt;&gt;"", 'Sales (Итоги оценки)'!$C$4, "")</f>
        <v>P2P платформа</v>
      </c>
      <c r="H49" s="249">
        <f t="shared" si="5"/>
        <v>1</v>
      </c>
      <c r="I49" s="251">
        <f>IF(OR(ISBLANK('Оценка'!F57), ISBLANK('Оценка'!G57)), "", 
(AVERAGE(
  (
    ('Оценка'!F57 + 4*AVERAGE('Оценка'!F57:G57) + 'Оценка'!G57)/6 - 
    2*(('Оценка'!G57 - 'Оценка'!F57)/6)
  )/5 , 
  (
    ('Оценка'!F57 + 4*AVERAGE('Оценка'!F57:G57) + 'Оценка'!G57)/6 + 
    2*(('Оценка'!G57 - 'Оценка'!F57)/6)
  )/5
) * 
(
  (
    ('PM (Расчеты)'!$C$22/8 + 'PM (Расчеты)'!$C$23/40) + 
    'PM (Расчеты)'!$C$21/100 + 'PM (Расчеты)'!$C$25/100 + 
    'PM (Расчеты)'!$C$26/100
  ) + 1
)))
 * 8 * 60 * 60
</f>
        <v>6912</v>
      </c>
      <c r="J49" s="252" t="str">
        <f>'Оценка'!B61</f>
        <v>Backend</v>
      </c>
      <c r="K49" s="253">
        <f t="shared" si="6"/>
        <v>46121</v>
      </c>
      <c r="L49" s="253">
        <f t="shared" si="7"/>
        <v>46122.92</v>
      </c>
    </row>
    <row r="50">
      <c r="A50" s="254" t="str">
        <f>'Оценка'!C62</f>
        <v>Обработка событий выплат</v>
      </c>
      <c r="B50" s="247" t="str">
        <f>'Оценка'!D62</f>
        <v>Обновление статистики при выплате из контракта</v>
      </c>
      <c r="C50" s="249">
        <f t="shared" si="1"/>
        <v>0</v>
      </c>
      <c r="D50" s="249">
        <f t="shared" si="2"/>
        <v>0</v>
      </c>
      <c r="E50" s="249">
        <f t="shared" si="3"/>
        <v>1</v>
      </c>
      <c r="F50" s="158">
        <f t="shared" si="4"/>
        <v>1</v>
      </c>
      <c r="G50" s="250" t="str">
        <f>IF(A50&lt;&gt;"", 'Sales (Итоги оценки)'!$C$4, "")</f>
        <v>P2P платформа</v>
      </c>
      <c r="H50" s="249">
        <f t="shared" si="5"/>
        <v>1</v>
      </c>
      <c r="I50" s="251">
        <f>IF(OR(ISBLANK('Оценка'!F58), ISBLANK('Оценка'!G58)), "", 
(AVERAGE(
  (
    ('Оценка'!F58 + 4*AVERAGE('Оценка'!F58:G58) + 'Оценка'!G58)/6 - 
    2*(('Оценка'!G58 - 'Оценка'!F58)/6)
  )/5 , 
  (
    ('Оценка'!F58 + 4*AVERAGE('Оценка'!F58:G58) + 'Оценка'!G58)/6 + 
    2*(('Оценка'!G58 - 'Оценка'!F58)/6)
  )/5
) * 
(
  (
    ('PM (Расчеты)'!$C$22/8 + 'PM (Расчеты)'!$C$23/40) + 
    'PM (Расчеты)'!$C$21/100 + 'PM (Расчеты)'!$C$25/100 + 
    'PM (Расчеты)'!$C$26/100
  ) + 1
)))
 * 8 * 60 * 60
</f>
        <v>4608</v>
      </c>
      <c r="J50" s="252" t="str">
        <f>'Оценка'!B62</f>
        <v>Backend</v>
      </c>
      <c r="K50" s="253">
        <f t="shared" si="6"/>
        <v>46121</v>
      </c>
      <c r="L50" s="253">
        <f t="shared" si="7"/>
        <v>46122.28</v>
      </c>
    </row>
    <row r="51">
      <c r="A51" s="247" t="str">
        <f>'Оценка'!C63</f>
        <v/>
      </c>
      <c r="B51" s="247" t="str">
        <f>'Оценка'!D63</f>
        <v/>
      </c>
      <c r="C51" s="249" t="str">
        <f t="shared" si="1"/>
        <v/>
      </c>
      <c r="D51" s="249" t="str">
        <f t="shared" si="2"/>
        <v/>
      </c>
      <c r="E51" s="249" t="str">
        <f t="shared" si="3"/>
        <v/>
      </c>
      <c r="F51" s="158" t="str">
        <f t="shared" si="4"/>
        <v/>
      </c>
      <c r="G51" s="247" t="str">
        <f>IF(A51&lt;&gt;"", 'Sales (Итоги оценки)'!$C$4, "")</f>
        <v/>
      </c>
      <c r="H51" s="249" t="str">
        <f t="shared" si="5"/>
        <v/>
      </c>
      <c r="I51" s="251">
        <f>IF(OR(ISBLANK('Оценка'!F59), ISBLANK('Оценка'!G59)), "", 
(AVERAGE(
  (
    ('Оценка'!F59 + 4*AVERAGE('Оценка'!F59:G59) + 'Оценка'!G59)/6 - 
    2*(('Оценка'!G59 - 'Оценка'!F59)/6)
  )/5 , 
  (
    ('Оценка'!F59 + 4*AVERAGE('Оценка'!F59:G59) + 'Оценка'!G59)/6 + 
    2*(('Оценка'!G59 - 'Оценка'!F59)/6)
  )/5
) * 
(
  (
    ('PM (Расчеты)'!$C$22/8 + 'PM (Расчеты)'!$C$23/40) + 
    'PM (Расчеты)'!$C$21/100 + 'PM (Расчеты)'!$C$25/100 + 
    'PM (Расчеты)'!$C$26/100
  ) + 1
)))
 * 8 * 60 * 60
</f>
        <v>13824</v>
      </c>
      <c r="J51" s="252" t="str">
        <f>'Оценка'!B63</f>
        <v/>
      </c>
      <c r="K51" s="253" t="str">
        <f t="shared" si="6"/>
        <v/>
      </c>
      <c r="L51" s="253" t="str">
        <f t="shared" si="7"/>
        <v/>
      </c>
    </row>
    <row r="52">
      <c r="A52" s="247" t="str">
        <f>'Оценка'!C64</f>
        <v/>
      </c>
      <c r="B52" s="247" t="str">
        <f>'Оценка'!D64</f>
        <v/>
      </c>
      <c r="C52" s="249" t="str">
        <f t="shared" si="1"/>
        <v/>
      </c>
      <c r="D52" s="249" t="str">
        <f t="shared" si="2"/>
        <v/>
      </c>
      <c r="E52" s="249" t="str">
        <f t="shared" si="3"/>
        <v/>
      </c>
      <c r="F52" s="158" t="str">
        <f t="shared" si="4"/>
        <v/>
      </c>
      <c r="G52" s="247" t="str">
        <f>IF(A52&lt;&gt;"", 'Sales (Итоги оценки)'!$C$4, "")</f>
        <v/>
      </c>
      <c r="H52" s="249" t="str">
        <f t="shared" si="5"/>
        <v/>
      </c>
      <c r="I52" s="251">
        <f>IF(OR(ISBLANK('Оценка'!F60), ISBLANK('Оценка'!G60)), "", 
(AVERAGE(
  (
    ('Оценка'!F60 + 4*AVERAGE('Оценка'!F60:G60) + 'Оценка'!G60)/6 - 
    2*(('Оценка'!G60 - 'Оценка'!F60)/6)
  )/5 , 
  (
    ('Оценка'!F60 + 4*AVERAGE('Оценка'!F60:G60) + 'Оценка'!G60)/6 + 
    2*(('Оценка'!G60 - 'Оценка'!F60)/6)
  )/5
) * 
(
  (
    ('PM (Расчеты)'!$C$22/8 + 'PM (Расчеты)'!$C$23/40) + 
    'PM (Расчеты)'!$C$21/100 + 'PM (Расчеты)'!$C$25/100 + 
    'PM (Расчеты)'!$C$26/100
  ) + 1
)))
 * 8 * 60 * 60
</f>
        <v>6912</v>
      </c>
      <c r="J52" s="252" t="str">
        <f>'Оценка'!B64</f>
        <v/>
      </c>
      <c r="K52" s="253" t="str">
        <f t="shared" si="6"/>
        <v/>
      </c>
      <c r="L52" s="253" t="str">
        <f t="shared" si="7"/>
        <v/>
      </c>
    </row>
    <row r="53">
      <c r="A53" s="247" t="str">
        <f>'Оценка'!C65</f>
        <v>Backend (Monolith): Миграции БД и документация</v>
      </c>
      <c r="B53" s="247" t="str">
        <f>'Оценка'!D65</f>
        <v/>
      </c>
      <c r="C53" s="249">
        <f t="shared" si="1"/>
        <v>0</v>
      </c>
      <c r="D53" s="249">
        <f t="shared" si="2"/>
        <v>0</v>
      </c>
      <c r="E53" s="249">
        <f t="shared" si="3"/>
        <v>1</v>
      </c>
      <c r="F53" s="158">
        <f t="shared" si="4"/>
        <v>1</v>
      </c>
      <c r="G53" s="250" t="str">
        <f>IF(A53&lt;&gt;"", 'Sales (Итоги оценки)'!$C$4, "")</f>
        <v>P2P платформа</v>
      </c>
      <c r="H53" s="249">
        <f t="shared" si="5"/>
        <v>1</v>
      </c>
      <c r="I53" s="251">
        <f>IF(OR(ISBLANK('Оценка'!F61), ISBLANK('Оценка'!G61)), "", 
(AVERAGE(
  (
    ('Оценка'!F61 + 4*AVERAGE('Оценка'!F61:G61) + 'Оценка'!G61)/6 - 
    2*(('Оценка'!G61 - 'Оценка'!F61)/6)
  )/5 , 
  (
    ('Оценка'!F61 + 4*AVERAGE('Оценка'!F61:G61) + 'Оценка'!G61)/6 + 
    2*(('Оценка'!G61 - 'Оценка'!F61)/6)
  )/5
) * 
(
  (
    ('PM (Расчеты)'!$C$22/8 + 'PM (Расчеты)'!$C$23/40) + 
    'PM (Расчеты)'!$C$21/100 + 'PM (Расчеты)'!$C$25/100 + 
    'PM (Расчеты)'!$C$26/100
  ) + 1
)))
 * 8 * 60 * 60
</f>
        <v>13824</v>
      </c>
      <c r="J53" s="252" t="str">
        <f>'Оценка'!B65</f>
        <v/>
      </c>
      <c r="K53" s="253">
        <f t="shared" si="6"/>
        <v>46121</v>
      </c>
      <c r="L53" s="253">
        <f t="shared" si="7"/>
        <v>46124.84</v>
      </c>
    </row>
    <row r="54">
      <c r="A54" s="247" t="str">
        <f>'Оценка'!C66</f>
        <v>Создание миграций</v>
      </c>
      <c r="B54" s="247" t="str">
        <f>'Оценка'!D66</f>
        <v>Все таблицы с учетом реферальной программы: users (с полями referrer_id, referrer_wallet, referral_code), wallets, orders, deals, disputes, rating, referral_rewards и др.</v>
      </c>
      <c r="C54" s="249">
        <f t="shared" si="1"/>
        <v>0</v>
      </c>
      <c r="D54" s="249">
        <f t="shared" si="2"/>
        <v>0</v>
      </c>
      <c r="E54" s="249">
        <f t="shared" si="3"/>
        <v>1</v>
      </c>
      <c r="F54" s="158">
        <f t="shared" si="4"/>
        <v>1</v>
      </c>
      <c r="G54" s="250" t="str">
        <f>IF(A54&lt;&gt;"", 'Sales (Итоги оценки)'!$C$4, "")</f>
        <v>P2P платформа</v>
      </c>
      <c r="H54" s="249">
        <f t="shared" si="5"/>
        <v>1</v>
      </c>
      <c r="I54" s="251">
        <f>IF(OR(ISBLANK('Оценка'!F62), ISBLANK('Оценка'!G62)), "", 
(AVERAGE(
  (
    ('Оценка'!F62 + 4*AVERAGE('Оценка'!F62:G62) + 'Оценка'!G62)/6 - 
    2*(('Оценка'!G62 - 'Оценка'!F62)/6)
  )/5 , 
  (
    ('Оценка'!F62 + 4*AVERAGE('Оценка'!F62:G62) + 'Оценка'!G62)/6 + 
    2*(('Оценка'!G62 - 'Оценка'!F62)/6)
  )/5
) * 
(
  (
    ('PM (Расчеты)'!$C$22/8 + 'PM (Расчеты)'!$C$23/40) + 
    'PM (Расчеты)'!$C$21/100 + 'PM (Расчеты)'!$C$25/100 + 
    'PM (Расчеты)'!$C$26/100
  ) + 1
)))
 * 8 * 60 * 60
</f>
        <v>9216</v>
      </c>
      <c r="J54" s="252" t="str">
        <f>'Оценка'!B66</f>
        <v>Backend</v>
      </c>
      <c r="K54" s="253">
        <f t="shared" si="6"/>
        <v>46121</v>
      </c>
      <c r="L54" s="253">
        <f t="shared" si="7"/>
        <v>46123.56</v>
      </c>
    </row>
    <row r="55">
      <c r="A55" s="247" t="str">
        <f>'Оценка'!C67</f>
        <v>Настройка Swagger/OpenAPI</v>
      </c>
      <c r="B55" s="247" t="str">
        <f>'Оценка'!D67</f>
        <v>Автогенерация документации для всех endpoints</v>
      </c>
      <c r="C55" s="249">
        <f t="shared" si="1"/>
        <v>0</v>
      </c>
      <c r="D55" s="249">
        <f t="shared" si="2"/>
        <v>0</v>
      </c>
      <c r="E55" s="249">
        <f t="shared" si="3"/>
        <v>1</v>
      </c>
      <c r="F55" s="158">
        <f t="shared" si="4"/>
        <v>1</v>
      </c>
      <c r="G55" s="250" t="str">
        <f>IF(A55&lt;&gt;"", 'Sales (Итоги оценки)'!$C$4, "")</f>
        <v>P2P платформа</v>
      </c>
      <c r="H55" s="249">
        <f t="shared" si="5"/>
        <v>1</v>
      </c>
      <c r="I55" s="251">
        <f>IF(OR(ISBLANK('Оценка'!F63), ISBLANK('Оценка'!G63)), "", 
(AVERAGE(
  (
    ('Оценка'!F63 + 4*AVERAGE('Оценка'!F63:G63) + 'Оценка'!G63)/6 - 
    2*(('Оценка'!G63 - 'Оценка'!F63)/6)
  )/5 , 
  (
    ('Оценка'!F63 + 4*AVERAGE('Оценка'!F63:G63) + 'Оценка'!G63)/6 + 
    2*(('Оценка'!G63 - 'Оценка'!F63)/6)
  )/5
) * 
(
  (
    ('PM (Расчеты)'!$C$22/8 + 'PM (Расчеты)'!$C$23/40) + 
    'PM (Расчеты)'!$C$21/100 + 'PM (Расчеты)'!$C$25/100 + 
    'PM (Расчеты)'!$C$26/100
  ) + 1
)))
 * 8 * 60 * 60
</f>
        <v>0</v>
      </c>
      <c r="J55" s="252" t="str">
        <f>'Оценка'!B67</f>
        <v>Backend</v>
      </c>
      <c r="K55" s="253">
        <f t="shared" si="6"/>
        <v>46121</v>
      </c>
      <c r="L55" s="253">
        <f t="shared" si="7"/>
        <v>46121</v>
      </c>
    </row>
    <row r="56">
      <c r="A56" s="247" t="str">
        <f>'Оценка'!C68</f>
        <v/>
      </c>
      <c r="B56" s="247" t="str">
        <f>'Оценка'!D68</f>
        <v/>
      </c>
      <c r="C56" s="249" t="str">
        <f t="shared" si="1"/>
        <v/>
      </c>
      <c r="D56" s="249" t="str">
        <f t="shared" si="2"/>
        <v/>
      </c>
      <c r="E56" s="249" t="str">
        <f t="shared" si="3"/>
        <v/>
      </c>
      <c r="F56" s="158" t="str">
        <f t="shared" si="4"/>
        <v/>
      </c>
      <c r="G56" s="247" t="str">
        <f>IF(A56&lt;&gt;"", 'Sales (Итоги оценки)'!$C$4, "")</f>
        <v/>
      </c>
      <c r="H56" s="249" t="str">
        <f t="shared" si="5"/>
        <v/>
      </c>
      <c r="I56" s="251">
        <f>IF(OR(ISBLANK('Оценка'!F64), ISBLANK('Оценка'!G64)), "", 
(AVERAGE(
  (
    ('Оценка'!F64 + 4*AVERAGE('Оценка'!F64:G64) + 'Оценка'!G64)/6 - 
    2*(('Оценка'!G64 - 'Оценка'!F64)/6)
  )/5 , 
  (
    ('Оценка'!F64 + 4*AVERAGE('Оценка'!F64:G64) + 'Оценка'!G64)/6 + 
    2*(('Оценка'!G64 - 'Оценка'!F64)/6)
  )/5
) * 
(
  (
    ('PM (Расчеты)'!$C$22/8 + 'PM (Расчеты)'!$C$23/40) + 
    'PM (Расчеты)'!$C$21/100 + 'PM (Расчеты)'!$C$25/100 + 
    'PM (Расчеты)'!$C$26/100
  ) + 1
)))
 * 8 * 60 * 60
</f>
        <v>0</v>
      </c>
      <c r="J56" s="252" t="str">
        <f>'Оценка'!B68</f>
        <v/>
      </c>
      <c r="K56" s="253" t="str">
        <f t="shared" si="6"/>
        <v/>
      </c>
      <c r="L56" s="253" t="str">
        <f t="shared" si="7"/>
        <v/>
      </c>
    </row>
    <row r="57">
      <c r="A57" s="247" t="str">
        <f>'Оценка'!C69</f>
        <v>Интеграции</v>
      </c>
      <c r="B57" s="247" t="str">
        <f>'Оценка'!D69</f>
        <v/>
      </c>
      <c r="C57" s="249">
        <f t="shared" si="1"/>
        <v>0</v>
      </c>
      <c r="D57" s="249">
        <f t="shared" si="2"/>
        <v>0</v>
      </c>
      <c r="E57" s="249">
        <f t="shared" si="3"/>
        <v>1</v>
      </c>
      <c r="F57" s="158">
        <f t="shared" si="4"/>
        <v>1</v>
      </c>
      <c r="G57" s="250" t="str">
        <f>IF(A57&lt;&gt;"", 'Sales (Итоги оценки)'!$C$4, "")</f>
        <v>P2P платформа</v>
      </c>
      <c r="H57" s="249">
        <f t="shared" si="5"/>
        <v>1</v>
      </c>
      <c r="I57" s="251">
        <f>IF(OR(ISBLANK('Оценка'!F65), ISBLANK('Оценка'!G65)), "", 
(AVERAGE(
  (
    ('Оценка'!F65 + 4*AVERAGE('Оценка'!F65:G65) + 'Оценка'!G65)/6 - 
    2*(('Оценка'!G65 - 'Оценка'!F65)/6)
  )/5 , 
  (
    ('Оценка'!F65 + 4*AVERAGE('Оценка'!F65:G65) + 'Оценка'!G65)/6 + 
    2*(('Оценка'!G65 - 'Оценка'!F65)/6)
  )/5
) * 
(
  (
    ('PM (Расчеты)'!$C$22/8 + 'PM (Расчеты)'!$C$23/40) + 
    'PM (Расчеты)'!$C$21/100 + 'PM (Расчеты)'!$C$25/100 + 
    'PM (Расчеты)'!$C$26/100
  ) + 1
)))
 * 8 * 60 * 60
</f>
        <v>0</v>
      </c>
      <c r="J57" s="252" t="str">
        <f>'Оценка'!B69</f>
        <v/>
      </c>
      <c r="K57" s="253">
        <f t="shared" si="6"/>
        <v>46121</v>
      </c>
      <c r="L57" s="253">
        <f t="shared" si="7"/>
        <v>46121</v>
      </c>
    </row>
    <row r="58">
      <c r="A58" s="247" t="str">
        <f>'Оценка'!C70</f>
        <v>KYC Интеграция</v>
      </c>
      <c r="B58" s="247" t="str">
        <f>'Оценка'!D70</f>
        <v>Регистрация в провайдере (SumSub/Onfido), вебхуки, SDK на frontend, обработка статусов</v>
      </c>
      <c r="C58" s="249">
        <f t="shared" si="1"/>
        <v>0</v>
      </c>
      <c r="D58" s="249">
        <f t="shared" si="2"/>
        <v>0</v>
      </c>
      <c r="E58" s="249">
        <f t="shared" si="3"/>
        <v>1</v>
      </c>
      <c r="F58" s="158">
        <f t="shared" si="4"/>
        <v>1</v>
      </c>
      <c r="G58" s="250" t="str">
        <f>IF(A58&lt;&gt;"", 'Sales (Итоги оценки)'!$C$4, "")</f>
        <v>P2P платформа</v>
      </c>
      <c r="H58" s="249">
        <f t="shared" si="5"/>
        <v>1</v>
      </c>
      <c r="I58" s="251">
        <f>IF(OR(ISBLANK('Оценка'!F66), ISBLANK('Оценка'!G66)), "", 
(AVERAGE(
  (
    ('Оценка'!F66 + 4*AVERAGE('Оценка'!F66:G66) + 'Оценка'!G66)/6 - 
    2*(('Оценка'!G66 - 'Оценка'!F66)/6)
  )/5 , 
  (
    ('Оценка'!F66 + 4*AVERAGE('Оценка'!F66:G66) + 'Оценка'!G66)/6 + 
    2*(('Оценка'!G66 - 'Оценка'!F66)/6)
  )/5
) * 
(
  (
    ('PM (Расчеты)'!$C$22/8 + 'PM (Расчеты)'!$C$23/40) + 
    'PM (Расчеты)'!$C$21/100 + 'PM (Расчеты)'!$C$25/100 + 
    'PM (Расчеты)'!$C$26/100
  ) + 1
)))
 * 8 * 60 * 60
</f>
        <v>23040</v>
      </c>
      <c r="J58" s="252" t="str">
        <f>'Оценка'!B70</f>
        <v>Backend</v>
      </c>
      <c r="K58" s="253">
        <f t="shared" si="6"/>
        <v>46121</v>
      </c>
      <c r="L58" s="253">
        <f t="shared" si="7"/>
        <v>46127.4</v>
      </c>
    </row>
    <row r="59">
      <c r="A59" s="247" t="str">
        <f>'Оценка'!C71</f>
        <v>Чат Интеграция</v>
      </c>
      <c r="B59" s="247" t="str">
        <f>'Оценка'!D71</f>
        <v>Регистрация в провайдере (Stream/PubNub), создание каналов, добавление участников, история</v>
      </c>
      <c r="C59" s="249">
        <f t="shared" si="1"/>
        <v>0</v>
      </c>
      <c r="D59" s="249">
        <f t="shared" si="2"/>
        <v>0</v>
      </c>
      <c r="E59" s="249">
        <f t="shared" si="3"/>
        <v>1</v>
      </c>
      <c r="F59" s="158">
        <f t="shared" si="4"/>
        <v>1</v>
      </c>
      <c r="G59" s="250" t="str">
        <f>IF(A59&lt;&gt;"", 'Sales (Итоги оценки)'!$C$4, "")</f>
        <v>P2P платформа</v>
      </c>
      <c r="H59" s="249">
        <f t="shared" si="5"/>
        <v>1</v>
      </c>
      <c r="I59" s="251">
        <f>IF(OR(ISBLANK('Оценка'!F67), ISBLANK('Оценка'!G67)), "", 
(AVERAGE(
  (
    ('Оценка'!F67 + 4*AVERAGE('Оценка'!F67:G67) + 'Оценка'!G67)/6 - 
    2*(('Оценка'!G67 - 'Оценка'!F67)/6)
  )/5 , 
  (
    ('Оценка'!F67 + 4*AVERAGE('Оценка'!F67:G67) + 'Оценка'!G67)/6 + 
    2*(('Оценка'!G67 - 'Оценка'!F67)/6)
  )/5
) * 
(
  (
    ('PM (Расчеты)'!$C$22/8 + 'PM (Расчеты)'!$C$23/40) + 
    'PM (Расчеты)'!$C$21/100 + 'PM (Расчеты)'!$C$25/100 + 
    'PM (Расчеты)'!$C$26/100
  ) + 1
)))
 * 8 * 60 * 60
</f>
        <v>13824</v>
      </c>
      <c r="J59" s="252" t="str">
        <f>'Оценка'!B71</f>
        <v>Backend</v>
      </c>
      <c r="K59" s="253">
        <f t="shared" si="6"/>
        <v>46121</v>
      </c>
      <c r="L59" s="253">
        <f t="shared" si="7"/>
        <v>46124.84</v>
      </c>
    </row>
    <row r="60">
      <c r="A60" s="247" t="str">
        <f>'Оценка'!C72</f>
        <v/>
      </c>
      <c r="B60" s="254" t="str">
        <f>'Оценка'!D72</f>
        <v/>
      </c>
      <c r="C60" s="249" t="str">
        <f t="shared" si="1"/>
        <v/>
      </c>
      <c r="D60" s="249" t="str">
        <f t="shared" si="2"/>
        <v/>
      </c>
      <c r="E60" s="249" t="str">
        <f t="shared" si="3"/>
        <v/>
      </c>
      <c r="F60" s="158" t="str">
        <f t="shared" si="4"/>
        <v/>
      </c>
      <c r="G60" s="247" t="str">
        <f>IF(A60&lt;&gt;"", 'Sales (Итоги оценки)'!$C$4, "")</f>
        <v/>
      </c>
      <c r="H60" s="249" t="str">
        <f t="shared" si="5"/>
        <v/>
      </c>
      <c r="I60" s="251">
        <f>IF(OR(ISBLANK('Оценка'!F68), ISBLANK('Оценка'!G68)), "", 
(AVERAGE(
  (
    ('Оценка'!F68 + 4*AVERAGE('Оценка'!F68:G68) + 'Оценка'!G68)/6 - 
    2*(('Оценка'!G68 - 'Оценка'!F68)/6)
  )/5 , 
  (
    ('Оценка'!F68 + 4*AVERAGE('Оценка'!F68:G68) + 'Оценка'!G68)/6 + 
    2*(('Оценка'!G68 - 'Оценка'!F68)/6)
  )/5
) * 
(
  (
    ('PM (Расчеты)'!$C$22/8 + 'PM (Расчеты)'!$C$23/40) + 
    'PM (Расчеты)'!$C$21/100 + 'PM (Расчеты)'!$C$25/100 + 
    'PM (Расчеты)'!$C$26/100
  ) + 1
)))
 * 8 * 60 * 60
</f>
        <v>0</v>
      </c>
      <c r="J60" s="252" t="str">
        <f>'Оценка'!B72</f>
        <v/>
      </c>
      <c r="K60" s="253" t="str">
        <f t="shared" si="6"/>
        <v/>
      </c>
      <c r="L60" s="253" t="str">
        <f t="shared" si="7"/>
        <v/>
      </c>
    </row>
    <row r="61">
      <c r="A61" s="247" t="str">
        <f>'Оценка'!C73</f>
        <v>Старт проекта</v>
      </c>
      <c r="B61" s="247" t="str">
        <f>'Оценка'!D73</f>
        <v/>
      </c>
      <c r="C61" s="249">
        <f t="shared" si="1"/>
        <v>0</v>
      </c>
      <c r="D61" s="249">
        <f t="shared" si="2"/>
        <v>0</v>
      </c>
      <c r="E61" s="249">
        <f t="shared" si="3"/>
        <v>1</v>
      </c>
      <c r="F61" s="158">
        <f t="shared" si="4"/>
        <v>1</v>
      </c>
      <c r="G61" s="250" t="str">
        <f>IF(A61&lt;&gt;"", 'Sales (Итоги оценки)'!$C$4, "")</f>
        <v>P2P платформа</v>
      </c>
      <c r="H61" s="249">
        <f t="shared" si="5"/>
        <v>1</v>
      </c>
      <c r="I61" s="251">
        <f>IF(OR(ISBLANK('Оценка'!F69), ISBLANK('Оценка'!G69)), "", 
(AVERAGE(
  (
    ('Оценка'!F69 + 4*AVERAGE('Оценка'!F69:G69) + 'Оценка'!G69)/6 - 
    2*(('Оценка'!G69 - 'Оценка'!F69)/6)
  )/5 , 
  (
    ('Оценка'!F69 + 4*AVERAGE('Оценка'!F69:G69) + 'Оценка'!G69)/6 + 
    2*(('Оценка'!G69 - 'Оценка'!F69)/6)
  )/5
) * 
(
  (
    ('PM (Расчеты)'!$C$22/8 + 'PM (Расчеты)'!$C$23/40) + 
    'PM (Расчеты)'!$C$21/100 + 'PM (Расчеты)'!$C$25/100 + 
    'PM (Расчеты)'!$C$26/100
  ) + 1
)))
 * 8 * 60 * 60
</f>
        <v>0</v>
      </c>
      <c r="J61" s="252" t="str">
        <f>'Оценка'!B73</f>
        <v/>
      </c>
      <c r="K61" s="253">
        <f t="shared" si="6"/>
        <v>46121</v>
      </c>
      <c r="L61" s="253">
        <f t="shared" si="7"/>
        <v>46121</v>
      </c>
    </row>
    <row r="62">
      <c r="A62" s="247" t="str">
        <f>'Оценка'!C74</f>
        <v>инициализация проекта</v>
      </c>
      <c r="B62" s="247" t="str">
        <f>'Оценка'!D74</f>
        <v>верстка</v>
      </c>
      <c r="C62" s="249">
        <f t="shared" si="1"/>
        <v>0</v>
      </c>
      <c r="D62" s="249">
        <f t="shared" si="2"/>
        <v>0</v>
      </c>
      <c r="E62" s="249">
        <f t="shared" si="3"/>
        <v>1</v>
      </c>
      <c r="F62" s="158">
        <f t="shared" si="4"/>
        <v>1</v>
      </c>
      <c r="G62" s="250" t="str">
        <f>IF(A62&lt;&gt;"", 'Sales (Итоги оценки)'!$C$4, "")</f>
        <v>P2P платформа</v>
      </c>
      <c r="H62" s="249">
        <f t="shared" si="5"/>
        <v>1</v>
      </c>
      <c r="I62" s="251">
        <f>IF(OR(ISBLANK('Оценка'!F70), ISBLANK('Оценка'!G70)), "", 
(AVERAGE(
  (
    ('Оценка'!F70 + 4*AVERAGE('Оценка'!F70:G70) + 'Оценка'!G70)/6 - 
    2*(('Оценка'!G70 - 'Оценка'!F70)/6)
  )/5 , 
  (
    ('Оценка'!F70 + 4*AVERAGE('Оценка'!F70:G70) + 'Оценка'!G70)/6 + 
    2*(('Оценка'!G70 - 'Оценка'!F70)/6)
  )/5
) * 
(
  (
    ('PM (Расчеты)'!$C$22/8 + 'PM (Расчеты)'!$C$23/40) + 
    'PM (Расчеты)'!$C$21/100 + 'PM (Расчеты)'!$C$25/100 + 
    'PM (Расчеты)'!$C$26/100
  ) + 1
)))
 * 8 * 60 * 60
</f>
        <v>23040</v>
      </c>
      <c r="J62" s="252" t="str">
        <f>'Оценка'!B74</f>
        <v>Frontend</v>
      </c>
      <c r="K62" s="253">
        <f t="shared" si="6"/>
        <v>46121</v>
      </c>
      <c r="L62" s="253">
        <f t="shared" si="7"/>
        <v>46127.4</v>
      </c>
    </row>
    <row r="63">
      <c r="A63" s="247" t="str">
        <f>'Оценка'!C75</f>
        <v/>
      </c>
      <c r="B63" s="247" t="str">
        <f>'Оценка'!D75</f>
        <v/>
      </c>
      <c r="C63" s="249" t="str">
        <f t="shared" si="1"/>
        <v/>
      </c>
      <c r="D63" s="249" t="str">
        <f t="shared" si="2"/>
        <v/>
      </c>
      <c r="E63" s="249" t="str">
        <f t="shared" si="3"/>
        <v/>
      </c>
      <c r="F63" s="158" t="str">
        <f t="shared" si="4"/>
        <v/>
      </c>
      <c r="G63" s="247" t="str">
        <f>IF(A63&lt;&gt;"", 'Sales (Итоги оценки)'!$C$4, "")</f>
        <v/>
      </c>
      <c r="H63" s="249" t="str">
        <f t="shared" si="5"/>
        <v/>
      </c>
      <c r="I63" s="251">
        <f>IF(OR(ISBLANK('Оценка'!F71), ISBLANK('Оценка'!G71)), "", 
(AVERAGE(
  (
    ('Оценка'!F71 + 4*AVERAGE('Оценка'!F71:G71) + 'Оценка'!G71)/6 - 
    2*(('Оценка'!G71 - 'Оценка'!F71)/6)
  )/5 , 
  (
    ('Оценка'!F71 + 4*AVERAGE('Оценка'!F71:G71) + 'Оценка'!G71)/6 + 
    2*(('Оценка'!G71 - 'Оценка'!F71)/6)
  )/5
) * 
(
  (
    ('PM (Расчеты)'!$C$22/8 + 'PM (Расчеты)'!$C$23/40) + 
    'PM (Расчеты)'!$C$21/100 + 'PM (Расчеты)'!$C$25/100 + 
    'PM (Расчеты)'!$C$26/100
  ) + 1
)))
 * 8 * 60 * 60
</f>
        <v>29952</v>
      </c>
      <c r="J63" s="252" t="str">
        <f>'Оценка'!B75</f>
        <v/>
      </c>
      <c r="K63" s="253" t="str">
        <f t="shared" si="6"/>
        <v/>
      </c>
      <c r="L63" s="253" t="str">
        <f t="shared" si="7"/>
        <v/>
      </c>
    </row>
    <row r="64">
      <c r="A64" s="247" t="str">
        <f>'Оценка'!C76</f>
        <v>Rewards Module(Frontend): Referral Module</v>
      </c>
      <c r="B64" s="247" t="str">
        <f>'Оценка'!D76</f>
        <v/>
      </c>
      <c r="C64" s="249">
        <f t="shared" si="1"/>
        <v>0</v>
      </c>
      <c r="D64" s="249">
        <f t="shared" si="2"/>
        <v>0</v>
      </c>
      <c r="E64" s="249">
        <f t="shared" si="3"/>
        <v>1</v>
      </c>
      <c r="F64" s="158">
        <f t="shared" si="4"/>
        <v>1</v>
      </c>
      <c r="G64" s="250" t="str">
        <f>IF(A64&lt;&gt;"", 'Sales (Итоги оценки)'!$C$4, "")</f>
        <v>P2P платформа</v>
      </c>
      <c r="H64" s="249">
        <f t="shared" si="5"/>
        <v>1</v>
      </c>
      <c r="I64" s="251">
        <f>IF(OR(ISBLANK('Оценка'!F72), ISBLANK('Оценка'!G72)), "", 
(AVERAGE(
  (
    ('Оценка'!F72 + 4*AVERAGE('Оценка'!F72:G72) + 'Оценка'!G72)/6 - 
    2*(('Оценка'!G72 - 'Оценка'!F72)/6)
  )/5 , 
  (
    ('Оценка'!F72 + 4*AVERAGE('Оценка'!F72:G72) + 'Оценка'!G72)/6 + 
    2*(('Оценка'!G72 - 'Оценка'!F72)/6)
  )/5
) * 
(
  (
    ('PM (Расчеты)'!$C$22/8 + 'PM (Расчеты)'!$C$23/40) + 
    'PM (Расчеты)'!$C$21/100 + 'PM (Расчеты)'!$C$25/100 + 
    'PM (Расчеты)'!$C$26/100
  ) + 1
)))
 * 8 * 60 * 60
</f>
        <v>0</v>
      </c>
      <c r="J64" s="252" t="str">
        <f>'Оценка'!B76</f>
        <v/>
      </c>
      <c r="K64" s="253">
        <f t="shared" si="6"/>
        <v>46121</v>
      </c>
      <c r="L64" s="253">
        <f t="shared" si="7"/>
        <v>46121</v>
      </c>
    </row>
    <row r="65">
      <c r="A65" s="247" t="str">
        <f>'Оценка'!C77</f>
        <v>Раздел в ЛК</v>
      </c>
      <c r="B65" s="254" t="str">
        <f>'Оценка'!D77</f>
        <v>правки верстки</v>
      </c>
      <c r="C65" s="249">
        <f t="shared" si="1"/>
        <v>0</v>
      </c>
      <c r="D65" s="249">
        <f t="shared" si="2"/>
        <v>0</v>
      </c>
      <c r="E65" s="249">
        <f t="shared" si="3"/>
        <v>1</v>
      </c>
      <c r="F65" s="158">
        <f t="shared" si="4"/>
        <v>1</v>
      </c>
      <c r="G65" s="250" t="str">
        <f>IF(A65&lt;&gt;"", 'Sales (Итоги оценки)'!$C$4, "")</f>
        <v>P2P платформа</v>
      </c>
      <c r="H65" s="249">
        <f t="shared" si="5"/>
        <v>1</v>
      </c>
      <c r="I65" s="251">
        <f>IF(OR(ISBLANK('Оценка'!F73), ISBLANK('Оценка'!G73)), "", 
(AVERAGE(
  (
    ('Оценка'!F73 + 4*AVERAGE('Оценка'!F73:G73) + 'Оценка'!G73)/6 - 
    2*(('Оценка'!G73 - 'Оценка'!F73)/6)
  )/5 , 
  (
    ('Оценка'!F73 + 4*AVERAGE('Оценка'!F73:G73) + 'Оценка'!G73)/6 + 
    2*(('Оценка'!G73 - 'Оценка'!F73)/6)
  )/5
) * 
(
  (
    ('PM (Расчеты)'!$C$22/8 + 'PM (Расчеты)'!$C$23/40) + 
    'PM (Расчеты)'!$C$21/100 + 'PM (Расчеты)'!$C$25/100 + 
    'PM (Расчеты)'!$C$26/100
  ) + 1
)))
 * 8 * 60 * 60
</f>
        <v>0</v>
      </c>
      <c r="J65" s="252" t="str">
        <f>'Оценка'!B77</f>
        <v>Frontend</v>
      </c>
      <c r="K65" s="253">
        <f t="shared" si="6"/>
        <v>46121</v>
      </c>
      <c r="L65" s="253">
        <f t="shared" si="7"/>
        <v>46121</v>
      </c>
    </row>
    <row r="66">
      <c r="A66" s="254" t="str">
        <f>'Оценка'!C78</f>
        <v>Таблица сделок</v>
      </c>
      <c r="B66" s="247" t="str">
        <f>'Оценка'!D78</f>
        <v>Таблица сделок рефералов, пагинация/фильтры</v>
      </c>
      <c r="C66" s="249">
        <f t="shared" si="1"/>
        <v>0</v>
      </c>
      <c r="D66" s="249">
        <f t="shared" si="2"/>
        <v>0</v>
      </c>
      <c r="E66" s="249">
        <f t="shared" si="3"/>
        <v>1</v>
      </c>
      <c r="F66" s="158">
        <f t="shared" si="4"/>
        <v>1</v>
      </c>
      <c r="G66" s="250" t="str">
        <f>IF(A66&lt;&gt;"", 'Sales (Итоги оценки)'!$C$4, "")</f>
        <v>P2P платформа</v>
      </c>
      <c r="H66" s="249">
        <f t="shared" si="5"/>
        <v>1</v>
      </c>
      <c r="I66" s="251">
        <f>IF(OR(ISBLANK('Оценка'!F74), ISBLANK('Оценка'!G74)), "", 
(AVERAGE(
  (
    ('Оценка'!F74 + 4*AVERAGE('Оценка'!F74:G74) + 'Оценка'!G74)/6 - 
    2*(('Оценка'!G74 - 'Оценка'!F74)/6)
  )/5 , 
  (
    ('Оценка'!F74 + 4*AVERAGE('Оценка'!F74:G74) + 'Оценка'!G74)/6 + 
    2*(('Оценка'!G74 - 'Оценка'!F74)/6)
  )/5
) * 
(
  (
    ('PM (Расчеты)'!$C$22/8 + 'PM (Расчеты)'!$C$23/40) + 
    'PM (Расчеты)'!$C$21/100 + 'PM (Расчеты)'!$C$25/100 + 
    'PM (Расчеты)'!$C$26/100
  ) + 1
)))
 * 8 * 60 * 60
</f>
        <v>36864</v>
      </c>
      <c r="J66" s="252" t="str">
        <f>'Оценка'!B78</f>
        <v>Frontend</v>
      </c>
      <c r="K66" s="253">
        <f t="shared" si="6"/>
        <v>46121</v>
      </c>
      <c r="L66" s="253">
        <f t="shared" si="7"/>
        <v>46131.24</v>
      </c>
    </row>
    <row r="67">
      <c r="A67" s="254" t="str">
        <f>'Оценка'!C79</f>
        <v>Интеграция API</v>
      </c>
      <c r="B67" s="247" t="str">
        <f>'Оценка'!D79</f>
        <v>Интеграция получения ссылки, интеграция сохранения кошелька, Интеграция статистики</v>
      </c>
      <c r="C67" s="249">
        <f t="shared" si="1"/>
        <v>0</v>
      </c>
      <c r="D67" s="249">
        <f t="shared" si="2"/>
        <v>0</v>
      </c>
      <c r="E67" s="249">
        <f t="shared" si="3"/>
        <v>1</v>
      </c>
      <c r="F67" s="158">
        <f t="shared" si="4"/>
        <v>1</v>
      </c>
      <c r="G67" s="250" t="str">
        <f>IF(A67&lt;&gt;"", 'Sales (Итоги оценки)'!$C$4, "")</f>
        <v>P2P платформа</v>
      </c>
      <c r="H67" s="249">
        <f t="shared" si="5"/>
        <v>1</v>
      </c>
      <c r="I67" s="251">
        <f>IF(OR(ISBLANK('Оценка'!F75), ISBLANK('Оценка'!G75)), "", 
(AVERAGE(
  (
    ('Оценка'!F75 + 4*AVERAGE('Оценка'!F75:G75) + 'Оценка'!G75)/6 - 
    2*(('Оценка'!G75 - 'Оценка'!F75)/6)
  )/5 , 
  (
    ('Оценка'!F75 + 4*AVERAGE('Оценка'!F75:G75) + 'Оценка'!G75)/6 + 
    2*(('Оценка'!G75 - 'Оценка'!F75)/6)
  )/5
) * 
(
  (
    ('PM (Расчеты)'!$C$22/8 + 'PM (Расчеты)'!$C$23/40) + 
    'PM (Расчеты)'!$C$21/100 + 'PM (Расчеты)'!$C$25/100 + 
    'PM (Расчеты)'!$C$26/100
  ) + 1
)))
 * 8 * 60 * 60
</f>
        <v>0</v>
      </c>
      <c r="J67" s="252" t="str">
        <f>'Оценка'!B79</f>
        <v>Frontend</v>
      </c>
      <c r="K67" s="253">
        <f t="shared" si="6"/>
        <v>46121</v>
      </c>
      <c r="L67" s="253">
        <f t="shared" si="7"/>
        <v>46121</v>
      </c>
    </row>
    <row r="68">
      <c r="A68" s="254" t="str">
        <f>'Оценка'!C80</f>
        <v/>
      </c>
      <c r="B68" s="247" t="str">
        <f>'Оценка'!D80</f>
        <v/>
      </c>
      <c r="C68" s="249" t="str">
        <f t="shared" si="1"/>
        <v/>
      </c>
      <c r="D68" s="249" t="str">
        <f t="shared" si="2"/>
        <v/>
      </c>
      <c r="E68" s="249" t="str">
        <f t="shared" si="3"/>
        <v/>
      </c>
      <c r="F68" s="158" t="str">
        <f t="shared" si="4"/>
        <v/>
      </c>
      <c r="G68" s="247" t="str">
        <f>IF(A68&lt;&gt;"", 'Sales (Итоги оценки)'!$C$4, "")</f>
        <v/>
      </c>
      <c r="H68" s="249" t="str">
        <f t="shared" si="5"/>
        <v/>
      </c>
      <c r="I68" s="251">
        <f>IF(OR(ISBLANK('Оценка'!F76), ISBLANK('Оценка'!G76)), "", 
(AVERAGE(
  (
    ('Оценка'!F76 + 4*AVERAGE('Оценка'!F76:G76) + 'Оценка'!G76)/6 - 
    2*(('Оценка'!G76 - 'Оценка'!F76)/6)
  )/5 , 
  (
    ('Оценка'!F76 + 4*AVERAGE('Оценка'!F76:G76) + 'Оценка'!G76)/6 + 
    2*(('Оценка'!G76 - 'Оценка'!F76)/6)
  )/5
) * 
(
  (
    ('PM (Расчеты)'!$C$22/8 + 'PM (Расчеты)'!$C$23/40) + 
    'PM (Расчеты)'!$C$21/100 + 'PM (Расчеты)'!$C$25/100 + 
    'PM (Расчеты)'!$C$26/100
  ) + 1
)))
 * 8 * 60 * 60
</f>
        <v>0</v>
      </c>
      <c r="J68" s="252" t="str">
        <f>'Оценка'!B80</f>
        <v/>
      </c>
      <c r="K68" s="253" t="str">
        <f t="shared" si="6"/>
        <v/>
      </c>
      <c r="L68" s="253" t="str">
        <f t="shared" si="7"/>
        <v/>
      </c>
    </row>
    <row r="69">
      <c r="A69" s="254" t="str">
        <f>'Оценка'!C81</f>
        <v/>
      </c>
      <c r="B69" s="247" t="str">
        <f>'Оценка'!D81</f>
        <v/>
      </c>
      <c r="C69" s="249" t="str">
        <f t="shared" si="1"/>
        <v/>
      </c>
      <c r="D69" s="249" t="str">
        <f t="shared" si="2"/>
        <v/>
      </c>
      <c r="E69" s="249" t="str">
        <f t="shared" si="3"/>
        <v/>
      </c>
      <c r="F69" s="158" t="str">
        <f t="shared" si="4"/>
        <v/>
      </c>
      <c r="G69" s="247" t="str">
        <f>IF(A69&lt;&gt;"", 'Sales (Итоги оценки)'!$C$4, "")</f>
        <v/>
      </c>
      <c r="H69" s="249" t="str">
        <f t="shared" si="5"/>
        <v/>
      </c>
      <c r="I69" s="251">
        <f>IF(OR(ISBLANK('Оценка'!F77), ISBLANK('Оценка'!G77)), "", 
(AVERAGE(
  (
    ('Оценка'!F77 + 4*AVERAGE('Оценка'!F77:G77) + 'Оценка'!G77)/6 - 
    2*(('Оценка'!G77 - 'Оценка'!F77)/6)
  )/5 , 
  (
    ('Оценка'!F77 + 4*AVERAGE('Оценка'!F77:G77) + 'Оценка'!G77)/6 + 
    2*(('Оценка'!G77 - 'Оценка'!F77)/6)
  )/5
) * 
(
  (
    ('PM (Расчеты)'!$C$22/8 + 'PM (Расчеты)'!$C$23/40) + 
    'PM (Расчеты)'!$C$21/100 + 'PM (Расчеты)'!$C$25/100 + 
    'PM (Расчеты)'!$C$26/100
  ) + 1
)))
 * 8 * 60 * 60
</f>
        <v>9216</v>
      </c>
      <c r="J69" s="252" t="str">
        <f>'Оценка'!B81</f>
        <v/>
      </c>
      <c r="K69" s="253" t="str">
        <f t="shared" si="6"/>
        <v/>
      </c>
      <c r="L69" s="253" t="str">
        <f t="shared" si="7"/>
        <v/>
      </c>
    </row>
    <row r="70">
      <c r="A70" s="247" t="str">
        <f>'Оценка'!C82</f>
        <v>Frontend: Страницы</v>
      </c>
      <c r="B70" s="247" t="str">
        <f>'Оценка'!D82</f>
        <v/>
      </c>
      <c r="C70" s="249">
        <f t="shared" si="1"/>
        <v>0</v>
      </c>
      <c r="D70" s="249">
        <f t="shared" si="2"/>
        <v>0</v>
      </c>
      <c r="E70" s="249">
        <f t="shared" si="3"/>
        <v>1</v>
      </c>
      <c r="F70" s="158">
        <f t="shared" si="4"/>
        <v>1</v>
      </c>
      <c r="G70" s="250" t="str">
        <f>IF(A70&lt;&gt;"", 'Sales (Итоги оценки)'!$C$4, "")</f>
        <v>P2P платформа</v>
      </c>
      <c r="H70" s="249">
        <f t="shared" si="5"/>
        <v>1</v>
      </c>
      <c r="I70" s="251">
        <f>IF(OR(ISBLANK('Оценка'!F78), ISBLANK('Оценка'!G78)), "", 
(AVERAGE(
  (
    ('Оценка'!F78 + 4*AVERAGE('Оценка'!F78:G78) + 'Оценка'!G78)/6 - 
    2*(('Оценка'!G78 - 'Оценка'!F78)/6)
  )/5 , 
  (
    ('Оценка'!F78 + 4*AVERAGE('Оценка'!F78:G78) + 'Оценка'!G78)/6 + 
    2*(('Оценка'!G78 - 'Оценка'!F78)/6)
  )/5
) * 
(
  (
    ('PM (Расчеты)'!$C$22/8 + 'PM (Расчеты)'!$C$23/40) + 
    'PM (Расчеты)'!$C$21/100 + 'PM (Расчеты)'!$C$25/100 + 
    'PM (Расчеты)'!$C$26/100
  ) + 1
)))
 * 8 * 60 * 60
</f>
        <v>9216</v>
      </c>
      <c r="J70" s="252" t="str">
        <f>'Оценка'!B82</f>
        <v/>
      </c>
      <c r="K70" s="253">
        <f t="shared" si="6"/>
        <v>46121</v>
      </c>
      <c r="L70" s="253">
        <f t="shared" si="7"/>
        <v>46123.56</v>
      </c>
    </row>
    <row r="71">
      <c r="A71" s="247" t="str">
        <f>'Оценка'!C83</f>
        <v>Страница Авторизации</v>
      </c>
      <c r="B71" s="247" t="str">
        <f>'Оценка'!D83</f>
        <v>Подключение кошелька, подпись сообщения, JWT</v>
      </c>
      <c r="C71" s="249">
        <f t="shared" si="1"/>
        <v>0</v>
      </c>
      <c r="D71" s="249">
        <f t="shared" si="2"/>
        <v>0</v>
      </c>
      <c r="E71" s="249">
        <f t="shared" si="3"/>
        <v>1</v>
      </c>
      <c r="F71" s="158">
        <f t="shared" si="4"/>
        <v>1</v>
      </c>
      <c r="G71" s="250" t="str">
        <f>IF(A71&lt;&gt;"", 'Sales (Итоги оценки)'!$C$4, "")</f>
        <v>P2P платформа</v>
      </c>
      <c r="H71" s="249">
        <f t="shared" si="5"/>
        <v>1</v>
      </c>
      <c r="I71" s="251">
        <f>IF(OR(ISBLANK('Оценка'!F79), ISBLANK('Оценка'!G79)), "", 
(AVERAGE(
  (
    ('Оценка'!F79 + 4*AVERAGE('Оценка'!F79:G79) + 'Оценка'!G79)/6 - 
    2*(('Оценка'!G79 - 'Оценка'!F79)/6)
  )/5 , 
  (
    ('Оценка'!F79 + 4*AVERAGE('Оценка'!F79:G79) + 'Оценка'!G79)/6 + 
    2*(('Оценка'!G79 - 'Оценка'!F79)/6)
  )/5
) * 
(
  (
    ('PM (Расчеты)'!$C$22/8 + 'PM (Расчеты)'!$C$23/40) + 
    'PM (Расчеты)'!$C$21/100 + 'PM (Расчеты)'!$C$25/100 + 
    'PM (Расчеты)'!$C$26/100
  ) + 1
)))
 * 8 * 60 * 60
</f>
        <v>13824</v>
      </c>
      <c r="J71" s="252" t="str">
        <f>'Оценка'!B83</f>
        <v>Frontend</v>
      </c>
      <c r="K71" s="253">
        <f t="shared" si="6"/>
        <v>46121</v>
      </c>
      <c r="L71" s="253">
        <f t="shared" si="7"/>
        <v>46124.84</v>
      </c>
    </row>
    <row r="72">
      <c r="A72" s="247" t="str">
        <f>'Оценка'!C84</f>
        <v>Страница Профиля</v>
      </c>
      <c r="B72" s="247" t="str">
        <f>'Оценка'!D84</f>
        <v>Информация, KYC статус, кошельки, реквизиты, рейтинг, рефералы</v>
      </c>
      <c r="C72" s="249">
        <f t="shared" si="1"/>
        <v>0</v>
      </c>
      <c r="D72" s="249">
        <f t="shared" si="2"/>
        <v>0</v>
      </c>
      <c r="E72" s="249">
        <f t="shared" si="3"/>
        <v>1</v>
      </c>
      <c r="F72" s="158">
        <f t="shared" si="4"/>
        <v>1</v>
      </c>
      <c r="G72" s="250" t="str">
        <f>IF(A72&lt;&gt;"", 'Sales (Итоги оценки)'!$C$4, "")</f>
        <v>P2P платформа</v>
      </c>
      <c r="H72" s="249">
        <f t="shared" si="5"/>
        <v>1</v>
      </c>
      <c r="I72" s="251">
        <f>IF(OR(ISBLANK('Оценка'!F80), ISBLANK('Оценка'!G80)), "", 
(AVERAGE(
  (
    ('Оценка'!F80 + 4*AVERAGE('Оценка'!F80:G80) + 'Оценка'!G80)/6 - 
    2*(('Оценка'!G80 - 'Оценка'!F80)/6)
  )/5 , 
  (
    ('Оценка'!F80 + 4*AVERAGE('Оценка'!F80:G80) + 'Оценка'!G80)/6 + 
    2*(('Оценка'!G80 - 'Оценка'!F80)/6)
  )/5
) * 
(
  (
    ('PM (Расчеты)'!$C$22/8 + 'PM (Расчеты)'!$C$23/40) + 
    'PM (Расчеты)'!$C$21/100 + 'PM (Расчеты)'!$C$25/100 + 
    'PM (Расчеты)'!$C$26/100
  ) + 1
)))
 * 8 * 60 * 60
</f>
        <v>0</v>
      </c>
      <c r="J72" s="252" t="str">
        <f>'Оценка'!B84</f>
        <v>Frontend</v>
      </c>
      <c r="K72" s="253">
        <f t="shared" si="6"/>
        <v>46121</v>
      </c>
      <c r="L72" s="253">
        <f t="shared" si="7"/>
        <v>46121</v>
      </c>
    </row>
    <row r="73">
      <c r="A73" s="247" t="str">
        <f>'Оценка'!C85</f>
        <v>Страница Стакана (Order Book)</v>
      </c>
      <c r="B73" s="247" t="str">
        <f>'Оценка'!D85</f>
        <v>Три колонки (Sell/Pit/Buy), фильтры, WebSocket, карточки ордеров</v>
      </c>
      <c r="C73" s="249">
        <f t="shared" si="1"/>
        <v>0</v>
      </c>
      <c r="D73" s="249">
        <f t="shared" si="2"/>
        <v>0</v>
      </c>
      <c r="E73" s="249">
        <f t="shared" si="3"/>
        <v>1</v>
      </c>
      <c r="F73" s="158">
        <f t="shared" si="4"/>
        <v>1</v>
      </c>
      <c r="G73" s="250" t="str">
        <f>IF(A73&lt;&gt;"", 'Sales (Итоги оценки)'!$C$4, "")</f>
        <v>P2P платформа</v>
      </c>
      <c r="H73" s="249">
        <f t="shared" si="5"/>
        <v>1</v>
      </c>
      <c r="I73" s="251">
        <f>IF(OR(ISBLANK('Оценка'!F81), ISBLANK('Оценка'!G81)), "", 
(AVERAGE(
  (
    ('Оценка'!F81 + 4*AVERAGE('Оценка'!F81:G81) + 'Оценка'!G81)/6 - 
    2*(('Оценка'!G81 - 'Оценка'!F81)/6)
  )/5 , 
  (
    ('Оценка'!F81 + 4*AVERAGE('Оценка'!F81:G81) + 'Оценка'!G81)/6 + 
    2*(('Оценка'!G81 - 'Оценка'!F81)/6)
  )/5
) * 
(
  (
    ('PM (Расчеты)'!$C$22/8 + 'PM (Расчеты)'!$C$23/40) + 
    'PM (Расчеты)'!$C$21/100 + 'PM (Расчеты)'!$C$25/100 + 
    'PM (Расчеты)'!$C$26/100
  ) + 1
)))
 * 8 * 60 * 60
</f>
        <v>0</v>
      </c>
      <c r="J73" s="252" t="str">
        <f>'Оценка'!B85</f>
        <v>Frontend</v>
      </c>
      <c r="K73" s="253">
        <f t="shared" si="6"/>
        <v>46121</v>
      </c>
      <c r="L73" s="253">
        <f t="shared" si="7"/>
        <v>46121</v>
      </c>
    </row>
    <row r="74">
      <c r="A74" s="247" t="str">
        <f>'Оценка'!C86</f>
        <v>Страница Создания Ордера и управление объявлениями</v>
      </c>
      <c r="B74" s="247" t="str">
        <f>'Оценка'!D86</f>
        <v>Тип (FIXED/PIT), направление, валюта, сумма, цена, банки, реквизиты</v>
      </c>
      <c r="C74" s="249">
        <f t="shared" si="1"/>
        <v>0</v>
      </c>
      <c r="D74" s="249">
        <f t="shared" si="2"/>
        <v>0</v>
      </c>
      <c r="E74" s="249">
        <f t="shared" si="3"/>
        <v>1</v>
      </c>
      <c r="F74" s="158">
        <f t="shared" si="4"/>
        <v>1</v>
      </c>
      <c r="G74" s="250" t="str">
        <f>IF(A74&lt;&gt;"", 'Sales (Итоги оценки)'!$C$4, "")</f>
        <v>P2P платформа</v>
      </c>
      <c r="H74" s="249">
        <f t="shared" si="5"/>
        <v>1</v>
      </c>
      <c r="I74" s="251">
        <f>IF(OR(ISBLANK('Оценка'!F82), ISBLANK('Оценка'!G82)), "", 
(AVERAGE(
  (
    ('Оценка'!F82 + 4*AVERAGE('Оценка'!F82:G82) + 'Оценка'!G82)/6 - 
    2*(('Оценка'!G82 - 'Оценка'!F82)/6)
  )/5 , 
  (
    ('Оценка'!F82 + 4*AVERAGE('Оценка'!F82:G82) + 'Оценка'!G82)/6 + 
    2*(('Оценка'!G82 - 'Оценка'!F82)/6)
  )/5
) * 
(
  (
    ('PM (Расчеты)'!$C$22/8 + 'PM (Расчеты)'!$C$23/40) + 
    'PM (Расчеты)'!$C$21/100 + 'PM (Расчеты)'!$C$25/100 + 
    'PM (Расчеты)'!$C$26/100
  ) + 1
)))
 * 8 * 60 * 60
</f>
        <v>0</v>
      </c>
      <c r="J74" s="252" t="str">
        <f>'Оценка'!B86</f>
        <v>Frontend</v>
      </c>
      <c r="K74" s="253">
        <f t="shared" si="6"/>
        <v>46121</v>
      </c>
      <c r="L74" s="253">
        <f t="shared" si="7"/>
        <v>46121</v>
      </c>
    </row>
    <row r="75">
      <c r="A75" s="247" t="str">
        <f>'Оценка'!C87</f>
        <v>Страница Сделки</v>
      </c>
      <c r="B75" s="247" t="str">
        <f>'Оценка'!D87</f>
        <v>Информационная панель, шаги, депозит, подтверждения, чат, диспут</v>
      </c>
      <c r="C75" s="249">
        <f t="shared" si="1"/>
        <v>0</v>
      </c>
      <c r="D75" s="249">
        <f t="shared" si="2"/>
        <v>0</v>
      </c>
      <c r="E75" s="249">
        <f t="shared" si="3"/>
        <v>1</v>
      </c>
      <c r="F75" s="158">
        <f t="shared" si="4"/>
        <v>1</v>
      </c>
      <c r="G75" s="250" t="str">
        <f>IF(A75&lt;&gt;"", 'Sales (Итоги оценки)'!$C$4, "")</f>
        <v>P2P платформа</v>
      </c>
      <c r="H75" s="249">
        <f t="shared" si="5"/>
        <v>1</v>
      </c>
      <c r="I75" s="251">
        <f>IF(OR(ISBLANK('Оценка'!F83), ISBLANK('Оценка'!G83)), "", 
(AVERAGE(
  (
    ('Оценка'!F83 + 4*AVERAGE('Оценка'!F83:G83) + 'Оценка'!G83)/6 - 
    2*(('Оценка'!G83 - 'Оценка'!F83)/6)
  )/5 , 
  (
    ('Оценка'!F83 + 4*AVERAGE('Оценка'!F83:G83) + 'Оценка'!G83)/6 + 
    2*(('Оценка'!G83 - 'Оценка'!F83)/6)
  )/5
) * 
(
  (
    ('PM (Расчеты)'!$C$22/8 + 'PM (Расчеты)'!$C$23/40) + 
    'PM (Расчеты)'!$C$21/100 + 'PM (Расчеты)'!$C$25/100 + 
    'PM (Расчеты)'!$C$26/100
  ) + 1
)))
 * 8 * 60 * 60
</f>
        <v>13824</v>
      </c>
      <c r="J75" s="252" t="str">
        <f>'Оценка'!B87</f>
        <v>Frontend</v>
      </c>
      <c r="K75" s="253">
        <f t="shared" si="6"/>
        <v>46121</v>
      </c>
      <c r="L75" s="253">
        <f t="shared" si="7"/>
        <v>46124.84</v>
      </c>
    </row>
    <row r="76">
      <c r="A76" s="247" t="str">
        <f>'Оценка'!C88</f>
        <v>Страница "Яма" (Pit)</v>
      </c>
      <c r="B76" s="247" t="str">
        <f>'Оценка'!D88</f>
        <v>Чат, предложение курса, принятие, фиксация</v>
      </c>
      <c r="C76" s="249">
        <f t="shared" si="1"/>
        <v>0</v>
      </c>
      <c r="D76" s="249">
        <f t="shared" si="2"/>
        <v>0</v>
      </c>
      <c r="E76" s="249">
        <f t="shared" si="3"/>
        <v>1</v>
      </c>
      <c r="F76" s="158">
        <f t="shared" si="4"/>
        <v>1</v>
      </c>
      <c r="G76" s="250" t="str">
        <f>IF(A76&lt;&gt;"", 'Sales (Итоги оценки)'!$C$4, "")</f>
        <v>P2P платформа</v>
      </c>
      <c r="H76" s="249">
        <f t="shared" si="5"/>
        <v>1</v>
      </c>
      <c r="I76" s="251">
        <f>IF(OR(ISBLANK('Оценка'!F84), ISBLANK('Оценка'!G84)), "", 
(AVERAGE(
  (
    ('Оценка'!F84 + 4*AVERAGE('Оценка'!F84:G84) + 'Оценка'!G84)/6 - 
    2*(('Оценка'!G84 - 'Оценка'!F84)/6)
  )/5 , 
  (
    ('Оценка'!F84 + 4*AVERAGE('Оценка'!F84:G84) + 'Оценка'!G84)/6 + 
    2*(('Оценка'!G84 - 'Оценка'!F84)/6)
  )/5
) * 
(
  (
    ('PM (Расчеты)'!$C$22/8 + 'PM (Расчеты)'!$C$23/40) + 
    'PM (Расчеты)'!$C$21/100 + 'PM (Расчеты)'!$C$25/100 + 
    'PM (Расчеты)'!$C$26/100
  ) + 1
)))
 * 8 * 60 * 60
</f>
        <v>23040</v>
      </c>
      <c r="J76" s="252" t="str">
        <f>'Оценка'!B88</f>
        <v>Frontend</v>
      </c>
      <c r="K76" s="253">
        <f t="shared" si="6"/>
        <v>46121</v>
      </c>
      <c r="L76" s="253">
        <f t="shared" si="7"/>
        <v>46127.4</v>
      </c>
    </row>
    <row r="77">
      <c r="A77" s="247" t="str">
        <f>'Оценка'!C89</f>
        <v>Страница Истории Сделок</v>
      </c>
      <c r="B77" s="247" t="str">
        <f>'Оценка'!D89</f>
        <v>Список, фильтры, детальная информация</v>
      </c>
      <c r="C77" s="249">
        <f t="shared" si="1"/>
        <v>0</v>
      </c>
      <c r="D77" s="249">
        <f t="shared" si="2"/>
        <v>0</v>
      </c>
      <c r="E77" s="249">
        <f t="shared" si="3"/>
        <v>1</v>
      </c>
      <c r="F77" s="158">
        <f t="shared" si="4"/>
        <v>1</v>
      </c>
      <c r="G77" s="250" t="str">
        <f>IF(A77&lt;&gt;"", 'Sales (Итоги оценки)'!$C$4, "")</f>
        <v>P2P платформа</v>
      </c>
      <c r="H77" s="249">
        <f t="shared" si="5"/>
        <v>1</v>
      </c>
      <c r="I77" s="251">
        <f>IF(OR(ISBLANK('Оценка'!F85), ISBLANK('Оценка'!G85)), "", 
(AVERAGE(
  (
    ('Оценка'!F85 + 4*AVERAGE('Оценка'!F85:G85) + 'Оценка'!G85)/6 - 
    2*(('Оценка'!G85 - 'Оценка'!F85)/6)
  )/5 , 
  (
    ('Оценка'!F85 + 4*AVERAGE('Оценка'!F85:G85) + 'Оценка'!G85)/6 + 
    2*(('Оценка'!G85 - 'Оценка'!F85)/6)
  )/5
) * 
(
  (
    ('PM (Расчеты)'!$C$22/8 + 'PM (Расчеты)'!$C$23/40) + 
    'PM (Расчеты)'!$C$21/100 + 'PM (Расчеты)'!$C$25/100 + 
    'PM (Расчеты)'!$C$26/100
  ) + 1
)))
 * 8 * 60 * 60
</f>
        <v>41472</v>
      </c>
      <c r="J77" s="252" t="str">
        <f>'Оценка'!B89</f>
        <v>Frontend</v>
      </c>
      <c r="K77" s="253">
        <f t="shared" si="6"/>
        <v>46121</v>
      </c>
      <c r="L77" s="253">
        <f t="shared" si="7"/>
        <v>46132.52</v>
      </c>
    </row>
    <row r="78">
      <c r="A78" s="247" t="str">
        <f>'Оценка'!C90</f>
        <v>Frontend: Админ-панель</v>
      </c>
      <c r="B78" s="247" t="str">
        <f>'Оценка'!D90</f>
        <v/>
      </c>
      <c r="C78" s="249">
        <f t="shared" si="1"/>
        <v>0</v>
      </c>
      <c r="D78" s="249">
        <f t="shared" si="2"/>
        <v>0</v>
      </c>
      <c r="E78" s="249">
        <f t="shared" si="3"/>
        <v>1</v>
      </c>
      <c r="F78" s="158">
        <f t="shared" si="4"/>
        <v>1</v>
      </c>
      <c r="G78" s="250" t="str">
        <f>IF(A78&lt;&gt;"", 'Sales (Итоги оценки)'!$C$4, "")</f>
        <v>P2P платформа</v>
      </c>
      <c r="H78" s="249">
        <f t="shared" si="5"/>
        <v>1</v>
      </c>
      <c r="I78" s="251">
        <f>IF(OR(ISBLANK('Оценка'!F86), ISBLANK('Оценка'!G86)), "", 
(AVERAGE(
  (
    ('Оценка'!F86 + 4*AVERAGE('Оценка'!F86:G86) + 'Оценка'!G86)/6 - 
    2*(('Оценка'!G86 - 'Оценка'!F86)/6)
  )/5 , 
  (
    ('Оценка'!F86 + 4*AVERAGE('Оценка'!F86:G86) + 'Оценка'!G86)/6 + 
    2*(('Оценка'!G86 - 'Оценка'!F86)/6)
  )/5
) * 
(
  (
    ('PM (Расчеты)'!$C$22/8 + 'PM (Расчеты)'!$C$23/40) + 
    'PM (Расчеты)'!$C$21/100 + 'PM (Расчеты)'!$C$25/100 + 
    'PM (Расчеты)'!$C$26/100
  ) + 1
)))
 * 8 * 60 * 60
</f>
        <v>23040</v>
      </c>
      <c r="J78" s="252" t="str">
        <f>'Оценка'!B90</f>
        <v/>
      </c>
      <c r="K78" s="253">
        <f t="shared" si="6"/>
        <v>46121</v>
      </c>
      <c r="L78" s="253">
        <f t="shared" si="7"/>
        <v>46127.4</v>
      </c>
    </row>
    <row r="79">
      <c r="A79" s="247" t="str">
        <f>'Оценка'!C91</f>
        <v>Layout и Dashboard</v>
      </c>
      <c r="B79" s="247" t="str">
        <f>'Оценка'!D91</f>
        <v>Сайдбар, навигация, статистика, метрики</v>
      </c>
      <c r="C79" s="249">
        <f t="shared" si="1"/>
        <v>0</v>
      </c>
      <c r="D79" s="249">
        <f t="shared" si="2"/>
        <v>0</v>
      </c>
      <c r="E79" s="249">
        <f t="shared" si="3"/>
        <v>1</v>
      </c>
      <c r="F79" s="158">
        <f t="shared" si="4"/>
        <v>1</v>
      </c>
      <c r="G79" s="250" t="str">
        <f>IF(A79&lt;&gt;"", 'Sales (Итоги оценки)'!$C$4, "")</f>
        <v>P2P платформа</v>
      </c>
      <c r="H79" s="249">
        <f t="shared" si="5"/>
        <v>1</v>
      </c>
      <c r="I79" s="251">
        <f>IF(OR(ISBLANK('Оценка'!F87), ISBLANK('Оценка'!G87)), "", 
(AVERAGE(
  (
    ('Оценка'!F87 + 4*AVERAGE('Оценка'!F87:G87) + 'Оценка'!G87)/6 - 
    2*(('Оценка'!G87 - 'Оценка'!F87)/6)
  )/5 , 
  (
    ('Оценка'!F87 + 4*AVERAGE('Оценка'!F87:G87) + 'Оценка'!G87)/6 + 
    2*(('Оценка'!G87 - 'Оценка'!F87)/6)
  )/5
) * 
(
  (
    ('PM (Расчеты)'!$C$22/8 + 'PM (Расчеты)'!$C$23/40) + 
    'PM (Расчеты)'!$C$21/100 + 'PM (Расчеты)'!$C$25/100 + 
    'PM (Расчеты)'!$C$26/100
  ) + 1
)))
 * 8 * 60 * 60
</f>
        <v>69120</v>
      </c>
      <c r="J79" s="252" t="str">
        <f>'Оценка'!B91</f>
        <v>Frontend</v>
      </c>
      <c r="K79" s="253">
        <f t="shared" si="6"/>
        <v>46121</v>
      </c>
      <c r="L79" s="253">
        <f t="shared" si="7"/>
        <v>46140.2</v>
      </c>
    </row>
    <row r="80">
      <c r="A80" s="247" t="str">
        <f>'Оценка'!C92</f>
        <v>Управление пользователями</v>
      </c>
      <c r="B80" s="247" t="str">
        <f>'Оценка'!D92</f>
        <v>Список, фильтры, детали профиля, KYC, действия</v>
      </c>
      <c r="C80" s="249">
        <f t="shared" si="1"/>
        <v>0</v>
      </c>
      <c r="D80" s="249">
        <f t="shared" si="2"/>
        <v>0</v>
      </c>
      <c r="E80" s="249">
        <f t="shared" si="3"/>
        <v>1</v>
      </c>
      <c r="F80" s="158">
        <f t="shared" si="4"/>
        <v>1</v>
      </c>
      <c r="G80" s="250" t="str">
        <f>IF(A80&lt;&gt;"", 'Sales (Итоги оценки)'!$C$4, "")</f>
        <v>P2P платформа</v>
      </c>
      <c r="H80" s="249">
        <f t="shared" si="5"/>
        <v>1</v>
      </c>
      <c r="I80" s="251">
        <f>IF(OR(ISBLANK('Оценка'!F88), ISBLANK('Оценка'!G88)), "", 
(AVERAGE(
  (
    ('Оценка'!F88 + 4*AVERAGE('Оценка'!F88:G88) + 'Оценка'!G88)/6 - 
    2*(('Оценка'!G88 - 'Оценка'!F88)/6)
  )/5 , 
  (
    ('Оценка'!F88 + 4*AVERAGE('Оценка'!F88:G88) + 'Оценка'!G88)/6 + 
    2*(('Оценка'!G88 - 'Оценка'!F88)/6)
  )/5
) * 
(
  (
    ('PM (Расчеты)'!$C$22/8 + 'PM (Расчеты)'!$C$23/40) + 
    'PM (Расчеты)'!$C$21/100 + 'PM (Расчеты)'!$C$25/100 + 
    'PM (Расчеты)'!$C$26/100
  ) + 1
)))
 * 8 * 60 * 60
</f>
        <v>9216</v>
      </c>
      <c r="J80" s="252" t="str">
        <f>'Оценка'!B92</f>
        <v>Frontend</v>
      </c>
      <c r="K80" s="253">
        <f t="shared" si="6"/>
        <v>46121</v>
      </c>
      <c r="L80" s="253">
        <f t="shared" si="7"/>
        <v>46123.56</v>
      </c>
    </row>
    <row r="81">
      <c r="A81" s="247" t="str">
        <f>'Оценка'!C93</f>
        <v>Управление ордерами и сделками</v>
      </c>
      <c r="B81" s="247" t="str">
        <f>'Оценка'!D93</f>
        <v>Просмотр всех ордеров и сделок</v>
      </c>
      <c r="C81" s="249">
        <f t="shared" si="1"/>
        <v>0</v>
      </c>
      <c r="D81" s="249">
        <f t="shared" si="2"/>
        <v>0</v>
      </c>
      <c r="E81" s="249">
        <f t="shared" si="3"/>
        <v>1</v>
      </c>
      <c r="F81" s="158">
        <f t="shared" si="4"/>
        <v>1</v>
      </c>
      <c r="G81" s="250" t="str">
        <f>IF(A81&lt;&gt;"", 'Sales (Итоги оценки)'!$C$4, "")</f>
        <v>P2P платформа</v>
      </c>
      <c r="H81" s="249">
        <f t="shared" si="5"/>
        <v>1</v>
      </c>
      <c r="I81" s="251">
        <f>IF(OR(ISBLANK('Оценка'!F89), ISBLANK('Оценка'!G89)), "", 
(AVERAGE(
  (
    ('Оценка'!F89 + 4*AVERAGE('Оценка'!F89:G89) + 'Оценка'!G89)/6 - 
    2*(('Оценка'!G89 - 'Оценка'!F89)/6)
  )/5 , 
  (
    ('Оценка'!F89 + 4*AVERAGE('Оценка'!F89:G89) + 'Оценка'!G89)/6 + 
    2*(('Оценка'!G89 - 'Оценка'!F89)/6)
  )/5
) * 
(
  (
    ('PM (Расчеты)'!$C$22/8 + 'PM (Расчеты)'!$C$23/40) + 
    'PM (Расчеты)'!$C$21/100 + 'PM (Расчеты)'!$C$25/100 + 
    'PM (Расчеты)'!$C$26/100
  ) + 1
)))
 * 8 * 60 * 60
</f>
        <v>6912</v>
      </c>
      <c r="J81" s="252" t="str">
        <f>'Оценка'!B93</f>
        <v>Frontend</v>
      </c>
      <c r="K81" s="253">
        <f t="shared" si="6"/>
        <v>46121</v>
      </c>
      <c r="L81" s="253">
        <f t="shared" si="7"/>
        <v>46122.92</v>
      </c>
    </row>
    <row r="82">
      <c r="A82" s="247" t="str">
        <f>'Оценка'!C94</f>
        <v>Управление диспутами</v>
      </c>
      <c r="B82" s="247" t="str">
        <f>'Оценка'!D94</f>
        <v>Список, детали, доказательства, форма решения</v>
      </c>
      <c r="C82" s="249">
        <f t="shared" si="1"/>
        <v>0</v>
      </c>
      <c r="D82" s="249">
        <f t="shared" si="2"/>
        <v>0</v>
      </c>
      <c r="E82" s="249">
        <f t="shared" si="3"/>
        <v>1</v>
      </c>
      <c r="F82" s="158">
        <f t="shared" si="4"/>
        <v>1</v>
      </c>
      <c r="G82" s="250" t="str">
        <f>IF(A82&lt;&gt;"", 'Sales (Итоги оценки)'!$C$4, "")</f>
        <v>P2P платформа</v>
      </c>
      <c r="H82" s="249">
        <f t="shared" si="5"/>
        <v>1</v>
      </c>
      <c r="I82" s="251">
        <f>IF(OR(ISBLANK('Оценка'!F90), ISBLANK('Оценка'!G90)), "", 
(AVERAGE(
  (
    ('Оценка'!F90 + 4*AVERAGE('Оценка'!F90:G90) + 'Оценка'!G90)/6 - 
    2*(('Оценка'!G90 - 'Оценка'!F90)/6)
  )/5 , 
  (
    ('Оценка'!F90 + 4*AVERAGE('Оценка'!F90:G90) + 'Оценка'!G90)/6 + 
    2*(('Оценка'!G90 - 'Оценка'!F90)/6)
  )/5
) * 
(
  (
    ('PM (Расчеты)'!$C$22/8 + 'PM (Расчеты)'!$C$23/40) + 
    'PM (Расчеты)'!$C$21/100 + 'PM (Расчеты)'!$C$25/100 + 
    'PM (Расчеты)'!$C$26/100
  ) + 1
)))
 * 8 * 60 * 60
</f>
        <v>0</v>
      </c>
      <c r="J82" s="252" t="str">
        <f>'Оценка'!B94</f>
        <v>Frontend</v>
      </c>
      <c r="K82" s="253">
        <f t="shared" si="6"/>
        <v>46121</v>
      </c>
      <c r="L82" s="253">
        <f t="shared" si="7"/>
        <v>46121</v>
      </c>
    </row>
    <row r="83">
      <c r="A83" s="247" t="str">
        <f>'Оценка'!C95</f>
        <v/>
      </c>
      <c r="B83" s="247" t="str">
        <f>'Оценка'!D95</f>
        <v/>
      </c>
      <c r="C83" s="249" t="str">
        <f t="shared" si="1"/>
        <v/>
      </c>
      <c r="D83" s="249" t="str">
        <f t="shared" si="2"/>
        <v/>
      </c>
      <c r="E83" s="249" t="str">
        <f t="shared" si="3"/>
        <v/>
      </c>
      <c r="F83" s="158" t="str">
        <f t="shared" si="4"/>
        <v/>
      </c>
      <c r="G83" s="247" t="str">
        <f>IF(A83&lt;&gt;"", 'Sales (Итоги оценки)'!$C$4, "")</f>
        <v/>
      </c>
      <c r="H83" s="249" t="str">
        <f t="shared" si="5"/>
        <v/>
      </c>
      <c r="I83" s="251">
        <f>IF(OR(ISBLANK('Оценка'!F91), ISBLANK('Оценка'!G91)), "", 
(AVERAGE(
  (
    ('Оценка'!F91 + 4*AVERAGE('Оценка'!F91:G91) + 'Оценка'!G91)/6 - 
    2*(('Оценка'!G91 - 'Оценка'!F91)/6)
  )/5 , 
  (
    ('Оценка'!F91 + 4*AVERAGE('Оценка'!F91:G91) + 'Оценка'!G91)/6 + 
    2*(('Оценка'!G91 - 'Оценка'!F91)/6)
  )/5
) * 
(
  (
    ('PM (Расчеты)'!$C$22/8 + 'PM (Расчеты)'!$C$23/40) + 
    'PM (Расчеты)'!$C$21/100 + 'PM (Расчеты)'!$C$25/100 + 
    'PM (Расчеты)'!$C$26/100
  ) + 1
)))
 * 8 * 60 * 60
</f>
        <v>46080</v>
      </c>
      <c r="J83" s="252" t="str">
        <f>'Оценка'!B95</f>
        <v/>
      </c>
      <c r="K83" s="253" t="str">
        <f t="shared" si="6"/>
        <v/>
      </c>
      <c r="L83" s="253" t="str">
        <f t="shared" si="7"/>
        <v/>
      </c>
    </row>
    <row r="84">
      <c r="A84" s="247" t="str">
        <f>'Оценка'!C96</f>
        <v>Frontend: Интеграция с API</v>
      </c>
      <c r="B84" s="247" t="str">
        <f>'Оценка'!D96</f>
        <v/>
      </c>
      <c r="C84" s="249">
        <f t="shared" si="1"/>
        <v>0</v>
      </c>
      <c r="D84" s="249">
        <f t="shared" si="2"/>
        <v>0</v>
      </c>
      <c r="E84" s="249">
        <f t="shared" si="3"/>
        <v>1</v>
      </c>
      <c r="F84" s="158">
        <f t="shared" si="4"/>
        <v>1</v>
      </c>
      <c r="G84" s="250" t="str">
        <f>IF(A84&lt;&gt;"", 'Sales (Итоги оценки)'!$C$4, "")</f>
        <v>P2P платформа</v>
      </c>
      <c r="H84" s="249">
        <f t="shared" si="5"/>
        <v>1</v>
      </c>
      <c r="I84" s="251">
        <f>IF(OR(ISBLANK('Оценка'!F92), ISBLANK('Оценка'!G92)), "", 
(AVERAGE(
  (
    ('Оценка'!F92 + 4*AVERAGE('Оценка'!F92:G92) + 'Оценка'!G92)/6 - 
    2*(('Оценка'!G92 - 'Оценка'!F92)/6)
  )/5 , 
  (
    ('Оценка'!F92 + 4*AVERAGE('Оценка'!F92:G92) + 'Оценка'!G92)/6 + 
    2*(('Оценка'!G92 - 'Оценка'!F92)/6)
  )/5
) * 
(
  (
    ('PM (Расчеты)'!$C$22/8 + 'PM (Расчеты)'!$C$23/40) + 
    'PM (Расчеты)'!$C$21/100 + 'PM (Расчеты)'!$C$25/100 + 
    'PM (Расчеты)'!$C$26/100
  ) + 1
)))
 * 8 * 60 * 60
</f>
        <v>0</v>
      </c>
      <c r="J84" s="252" t="str">
        <f>'Оценка'!B96</f>
        <v/>
      </c>
      <c r="K84" s="253">
        <f t="shared" si="6"/>
        <v>46121</v>
      </c>
      <c r="L84" s="253">
        <f t="shared" si="7"/>
        <v>46121</v>
      </c>
    </row>
    <row r="85">
      <c r="A85" s="247" t="str">
        <f t="shared" ref="A85:B85" si="11">#REF!</f>
        <v>#REF!</v>
      </c>
      <c r="B85" s="247" t="str">
        <f t="shared" si="11"/>
        <v>#REF!</v>
      </c>
      <c r="C85" s="249" t="str">
        <f t="shared" si="1"/>
        <v>#REF!</v>
      </c>
      <c r="D85" s="249" t="str">
        <f t="shared" si="2"/>
        <v>#REF!</v>
      </c>
      <c r="E85" s="249" t="str">
        <f t="shared" si="3"/>
        <v>#REF!</v>
      </c>
      <c r="F85" s="158" t="str">
        <f t="shared" si="4"/>
        <v>#REF!</v>
      </c>
      <c r="G85" s="247" t="str">
        <f>IF(A85&lt;&gt;"", 'Sales (Итоги оценки)'!$C$4, "")</f>
        <v>#REF!</v>
      </c>
      <c r="H85" s="249" t="str">
        <f t="shared" si="5"/>
        <v>#REF!</v>
      </c>
      <c r="I85" s="251">
        <f>IF(OR(ISBLANK('Оценка'!F93), ISBLANK('Оценка'!G93)), "", 
(AVERAGE(
  (
    ('Оценка'!F93 + 4*AVERAGE('Оценка'!F93:G93) + 'Оценка'!G93)/6 - 
    2*(('Оценка'!G93 - 'Оценка'!F93)/6)
  )/5 , 
  (
    ('Оценка'!F93 + 4*AVERAGE('Оценка'!F93:G93) + 'Оценка'!G93)/6 + 
    2*(('Оценка'!G93 - 'Оценка'!F93)/6)
  )/5
) * 
(
  (
    ('PM (Расчеты)'!$C$22/8 + 'PM (Расчеты)'!$C$23/40) + 
    'PM (Расчеты)'!$C$21/100 + 'PM (Расчеты)'!$C$25/100 + 
    'PM (Расчеты)'!$C$26/100
  ) + 1
)))
 * 8 * 60 * 60
</f>
        <v>0</v>
      </c>
      <c r="J85" s="252" t="str">
        <f t="shared" ref="J85:J91" si="13">#REF!</f>
        <v>#REF!</v>
      </c>
      <c r="K85" s="253" t="str">
        <f t="shared" si="6"/>
        <v>#REF!</v>
      </c>
      <c r="L85" s="253" t="str">
        <f t="shared" si="7"/>
        <v>#REF!</v>
      </c>
    </row>
    <row r="86">
      <c r="A86" s="247" t="str">
        <f t="shared" ref="A86:B86" si="12">#REF!</f>
        <v>#REF!</v>
      </c>
      <c r="B86" s="247" t="str">
        <f t="shared" si="12"/>
        <v>#REF!</v>
      </c>
      <c r="C86" s="249" t="str">
        <f t="shared" si="1"/>
        <v>#REF!</v>
      </c>
      <c r="D86" s="249" t="str">
        <f t="shared" si="2"/>
        <v>#REF!</v>
      </c>
      <c r="E86" s="249" t="str">
        <f t="shared" si="3"/>
        <v>#REF!</v>
      </c>
      <c r="F86" s="158" t="str">
        <f t="shared" si="4"/>
        <v>#REF!</v>
      </c>
      <c r="G86" s="247" t="str">
        <f>IF(A86&lt;&gt;"", 'Sales (Итоги оценки)'!$C$4, "")</f>
        <v>#REF!</v>
      </c>
      <c r="H86" s="249" t="str">
        <f t="shared" si="5"/>
        <v>#REF!</v>
      </c>
      <c r="I86" s="251">
        <f>IF(OR(ISBLANK('Оценка'!F94), ISBLANK('Оценка'!G94)), "", 
(AVERAGE(
  (
    ('Оценка'!F94 + 4*AVERAGE('Оценка'!F94:G94) + 'Оценка'!G94)/6 - 
    2*(('Оценка'!G94 - 'Оценка'!F94)/6)
  )/5 , 
  (
    ('Оценка'!F94 + 4*AVERAGE('Оценка'!F94:G94) + 'Оценка'!G94)/6 + 
    2*(('Оценка'!G94 - 'Оценка'!F94)/6)
  )/5
) * 
(
  (
    ('PM (Расчеты)'!$C$22/8 + 'PM (Расчеты)'!$C$23/40) + 
    'PM (Расчеты)'!$C$21/100 + 'PM (Расчеты)'!$C$25/100 + 
    'PM (Расчеты)'!$C$26/100
  ) + 1
)))
 * 8 * 60 * 60
</f>
        <v>0</v>
      </c>
      <c r="J86" s="252" t="str">
        <f t="shared" si="13"/>
        <v>#REF!</v>
      </c>
      <c r="K86" s="253" t="str">
        <f t="shared" si="6"/>
        <v>#REF!</v>
      </c>
      <c r="L86" s="253" t="str">
        <f t="shared" si="7"/>
        <v>#REF!</v>
      </c>
    </row>
    <row r="87">
      <c r="A87" s="247" t="str">
        <f t="shared" ref="A87:B87" si="14">#REF!</f>
        <v>#REF!</v>
      </c>
      <c r="B87" s="247" t="str">
        <f t="shared" si="14"/>
        <v>#REF!</v>
      </c>
      <c r="C87" s="249" t="str">
        <f t="shared" si="1"/>
        <v>#REF!</v>
      </c>
      <c r="D87" s="249" t="str">
        <f t="shared" si="2"/>
        <v>#REF!</v>
      </c>
      <c r="E87" s="249" t="str">
        <f t="shared" si="3"/>
        <v>#REF!</v>
      </c>
      <c r="F87" s="158" t="str">
        <f t="shared" si="4"/>
        <v>#REF!</v>
      </c>
      <c r="G87" s="247" t="str">
        <f>IF(A87&lt;&gt;"", 'Sales (Итоги оценки)'!$C$4, "")</f>
        <v>#REF!</v>
      </c>
      <c r="H87" s="249" t="str">
        <f t="shared" si="5"/>
        <v>#REF!</v>
      </c>
      <c r="I87" s="251">
        <f>IF(OR(ISBLANK('Оценка'!F95), ISBLANK('Оценка'!G95)), "", 
(AVERAGE(
  (
    ('Оценка'!F95 + 4*AVERAGE('Оценка'!F95:G95) + 'Оценка'!G95)/6 - 
    2*(('Оценка'!G95 - 'Оценка'!F95)/6)
  )/5 , 
  (
    ('Оценка'!F95 + 4*AVERAGE('Оценка'!F95:G95) + 'Оценка'!G95)/6 + 
    2*(('Оценка'!G95 - 'Оценка'!F95)/6)
  )/5
) * 
(
  (
    ('PM (Расчеты)'!$C$22/8 + 'PM (Расчеты)'!$C$23/40) + 
    'PM (Расчеты)'!$C$21/100 + 'PM (Расчеты)'!$C$25/100 + 
    'PM (Расчеты)'!$C$26/100
  ) + 1
)))
 * 8 * 60 * 60
</f>
        <v>0</v>
      </c>
      <c r="J87" s="252" t="str">
        <f t="shared" si="13"/>
        <v>#REF!</v>
      </c>
      <c r="K87" s="253" t="str">
        <f t="shared" si="6"/>
        <v>#REF!</v>
      </c>
      <c r="L87" s="253" t="str">
        <f t="shared" si="7"/>
        <v>#REF!</v>
      </c>
    </row>
    <row r="88">
      <c r="A88" s="247" t="str">
        <f t="shared" ref="A88:B88" si="15">#REF!</f>
        <v>#REF!</v>
      </c>
      <c r="B88" s="247" t="str">
        <f t="shared" si="15"/>
        <v>#REF!</v>
      </c>
      <c r="C88" s="249" t="str">
        <f t="shared" si="1"/>
        <v>#REF!</v>
      </c>
      <c r="D88" s="249" t="str">
        <f t="shared" si="2"/>
        <v>#REF!</v>
      </c>
      <c r="E88" s="249" t="str">
        <f t="shared" si="3"/>
        <v>#REF!</v>
      </c>
      <c r="F88" s="158" t="str">
        <f t="shared" si="4"/>
        <v>#REF!</v>
      </c>
      <c r="G88" s="247" t="str">
        <f>IF(A88&lt;&gt;"", 'Sales (Итоги оценки)'!$C$4, "")</f>
        <v>#REF!</v>
      </c>
      <c r="H88" s="249" t="str">
        <f t="shared" si="5"/>
        <v>#REF!</v>
      </c>
      <c r="I88" s="251">
        <f>IF(OR(ISBLANK('Оценка'!F96), ISBLANK('Оценка'!G96)), "", 
(AVERAGE(
  (
    ('Оценка'!F96 + 4*AVERAGE('Оценка'!F96:G96) + 'Оценка'!G96)/6 - 
    2*(('Оценка'!G96 - 'Оценка'!F96)/6)
  )/5 , 
  (
    ('Оценка'!F96 + 4*AVERAGE('Оценка'!F96:G96) + 'Оценка'!G96)/6 + 
    2*(('Оценка'!G96 - 'Оценка'!F96)/6)
  )/5
) * 
(
  (
    ('PM (Расчеты)'!$C$22/8 + 'PM (Расчеты)'!$C$23/40) + 
    'PM (Расчеты)'!$C$21/100 + 'PM (Расчеты)'!$C$25/100 + 
    'PM (Расчеты)'!$C$26/100
  ) + 1
)))
 * 8 * 60 * 60
</f>
        <v>0</v>
      </c>
      <c r="J88" s="252" t="str">
        <f t="shared" si="13"/>
        <v>#REF!</v>
      </c>
      <c r="K88" s="253" t="str">
        <f t="shared" si="6"/>
        <v>#REF!</v>
      </c>
      <c r="L88" s="253" t="str">
        <f t="shared" si="7"/>
        <v>#REF!</v>
      </c>
    </row>
    <row r="89">
      <c r="A89" s="247" t="str">
        <f t="shared" ref="A89:B89" si="16">#REF!</f>
        <v>#REF!</v>
      </c>
      <c r="B89" s="247" t="str">
        <f t="shared" si="16"/>
        <v>#REF!</v>
      </c>
      <c r="C89" s="249" t="str">
        <f t="shared" si="1"/>
        <v>#REF!</v>
      </c>
      <c r="D89" s="249" t="str">
        <f t="shared" si="2"/>
        <v>#REF!</v>
      </c>
      <c r="E89" s="249" t="str">
        <f t="shared" si="3"/>
        <v>#REF!</v>
      </c>
      <c r="F89" s="158" t="str">
        <f t="shared" si="4"/>
        <v>#REF!</v>
      </c>
      <c r="G89" s="247" t="str">
        <f>IF(A89&lt;&gt;"", 'Sales (Итоги оценки)'!$C$4, "")</f>
        <v>#REF!</v>
      </c>
      <c r="H89" s="249" t="str">
        <f t="shared" si="5"/>
        <v>#REF!</v>
      </c>
      <c r="I89" s="251" t="str">
        <f>IF(OR(ISBLANK(#REF!), ISBLANK(#REF!)), "", 
(AVERAGE(
  (
    (#REF! + 4*AVERAGE(#REF!) + #REF!)/6 - 
    2*((#REF! - #REF!)/6)
  )/5 , 
  (
    (#REF! + 4*AVERAGE(#REF!) + #REF!)/6 + 
    2*((#REF! - #REF!)/6)
  )/5
) * 
(
  (
    ('PM (Расчеты)'!$C$22/8 + 'PM (Расчеты)'!$C$23/40) + 
    'PM (Расчеты)'!$C$21/100 + 'PM (Расчеты)'!$C$25/100 + 
    'PM (Расчеты)'!$C$26/100
  ) + 1
)))
 * 8 * 60 * 60
</f>
        <v>#REF!</v>
      </c>
      <c r="J89" s="252" t="str">
        <f t="shared" si="13"/>
        <v>#REF!</v>
      </c>
      <c r="K89" s="253" t="str">
        <f t="shared" si="6"/>
        <v>#REF!</v>
      </c>
      <c r="L89" s="253" t="str">
        <f t="shared" si="7"/>
        <v>#REF!</v>
      </c>
    </row>
    <row r="90">
      <c r="A90" s="247" t="str">
        <f t="shared" ref="A90:B90" si="17">#REF!</f>
        <v>#REF!</v>
      </c>
      <c r="B90" s="247" t="str">
        <f t="shared" si="17"/>
        <v>#REF!</v>
      </c>
      <c r="C90" s="249" t="str">
        <f t="shared" si="1"/>
        <v>#REF!</v>
      </c>
      <c r="D90" s="249" t="str">
        <f t="shared" si="2"/>
        <v>#REF!</v>
      </c>
      <c r="E90" s="249" t="str">
        <f t="shared" si="3"/>
        <v>#REF!</v>
      </c>
      <c r="F90" s="158" t="str">
        <f t="shared" si="4"/>
        <v>#REF!</v>
      </c>
      <c r="G90" s="247" t="str">
        <f>IF(A90&lt;&gt;"", 'Sales (Итоги оценки)'!$C$4, "")</f>
        <v>#REF!</v>
      </c>
      <c r="H90" s="249" t="str">
        <f t="shared" si="5"/>
        <v>#REF!</v>
      </c>
      <c r="I90" s="251" t="str">
        <f>IF(OR(ISBLANK(#REF!), ISBLANK(#REF!)), "", 
(AVERAGE(
  (
    (#REF! + 4*AVERAGE(#REF!) + #REF!)/6 - 
    2*((#REF! - #REF!)/6)
  )/5 , 
  (
    (#REF! + 4*AVERAGE(#REF!) + #REF!)/6 + 
    2*((#REF! - #REF!)/6)
  )/5
) * 
(
  (
    ('PM (Расчеты)'!$C$22/8 + 'PM (Расчеты)'!$C$23/40) + 
    'PM (Расчеты)'!$C$21/100 + 'PM (Расчеты)'!$C$25/100 + 
    'PM (Расчеты)'!$C$26/100
  ) + 1
)))
 * 8 * 60 * 60
</f>
        <v>#REF!</v>
      </c>
      <c r="J90" s="252" t="str">
        <f t="shared" si="13"/>
        <v>#REF!</v>
      </c>
      <c r="K90" s="253" t="str">
        <f t="shared" si="6"/>
        <v>#REF!</v>
      </c>
      <c r="L90" s="253" t="str">
        <f t="shared" si="7"/>
        <v>#REF!</v>
      </c>
    </row>
    <row r="91">
      <c r="A91" s="247" t="str">
        <f t="shared" ref="A91:B91" si="18">#REF!</f>
        <v>#REF!</v>
      </c>
      <c r="B91" s="247" t="str">
        <f t="shared" si="18"/>
        <v>#REF!</v>
      </c>
      <c r="C91" s="249" t="str">
        <f t="shared" si="1"/>
        <v>#REF!</v>
      </c>
      <c r="D91" s="249" t="str">
        <f t="shared" si="2"/>
        <v>#REF!</v>
      </c>
      <c r="E91" s="249" t="str">
        <f t="shared" si="3"/>
        <v>#REF!</v>
      </c>
      <c r="F91" s="158" t="str">
        <f t="shared" si="4"/>
        <v>#REF!</v>
      </c>
      <c r="G91" s="247" t="str">
        <f>IF(A91&lt;&gt;"", 'Sales (Итоги оценки)'!$C$4, "")</f>
        <v>#REF!</v>
      </c>
      <c r="H91" s="249" t="str">
        <f t="shared" si="5"/>
        <v>#REF!</v>
      </c>
      <c r="I91" s="251" t="str">
        <f>IF(OR(ISBLANK(#REF!), ISBLANK(#REF!)), "", 
(AVERAGE(
  (
    (#REF! + 4*AVERAGE(#REF!) + #REF!)/6 - 
    2*((#REF! - #REF!)/6)
  )/5 , 
  (
    (#REF! + 4*AVERAGE(#REF!) + #REF!)/6 + 
    2*((#REF! - #REF!)/6)
  )/5
) * 
(
  (
    ('PM (Расчеты)'!$C$22/8 + 'PM (Расчеты)'!$C$23/40) + 
    'PM (Расчеты)'!$C$21/100 + 'PM (Расчеты)'!$C$25/100 + 
    'PM (Расчеты)'!$C$26/100
  ) + 1
)))
 * 8 * 60 * 60
</f>
        <v>#REF!</v>
      </c>
      <c r="J91" s="252" t="str">
        <f t="shared" si="13"/>
        <v>#REF!</v>
      </c>
      <c r="K91" s="253" t="str">
        <f t="shared" si="6"/>
        <v>#REF!</v>
      </c>
      <c r="L91" s="253" t="str">
        <f t="shared" si="7"/>
        <v>#REF!</v>
      </c>
    </row>
    <row r="92">
      <c r="A92" s="247" t="str">
        <f>'Оценка'!C97</f>
        <v>Интеграция WebSocket</v>
      </c>
      <c r="B92" s="247" t="str">
        <f>'Оценка'!D97</f>
        <v>Стакан, уведомления, обработка ошибок</v>
      </c>
      <c r="C92" s="249">
        <f t="shared" si="1"/>
        <v>0</v>
      </c>
      <c r="D92" s="249">
        <f t="shared" si="2"/>
        <v>0</v>
      </c>
      <c r="E92" s="249">
        <f t="shared" si="3"/>
        <v>1</v>
      </c>
      <c r="F92" s="158">
        <f t="shared" si="4"/>
        <v>1</v>
      </c>
      <c r="G92" s="250" t="str">
        <f>IF(A92&lt;&gt;"", 'Sales (Итоги оценки)'!$C$4, "")</f>
        <v>P2P платформа</v>
      </c>
      <c r="H92" s="249">
        <f t="shared" si="5"/>
        <v>1</v>
      </c>
      <c r="I92" s="251" t="str">
        <f>IF(OR(ISBLANK(#REF!), ISBLANK(#REF!)), "", 
(AVERAGE(
  (
    (#REF! + 4*AVERAGE(#REF!) + #REF!)/6 - 
    2*((#REF! - #REF!)/6)
  )/5 , 
  (
    (#REF! + 4*AVERAGE(#REF!) + #REF!)/6 + 
    2*((#REF! - #REF!)/6)
  )/5
) * 
(
  (
    ('PM (Расчеты)'!$C$22/8 + 'PM (Расчеты)'!$C$23/40) + 
    'PM (Расчеты)'!$C$21/100 + 'PM (Расчеты)'!$C$25/100 + 
    'PM (Расчеты)'!$C$26/100
  ) + 1
)))
 * 8 * 60 * 60
</f>
        <v>#REF!</v>
      </c>
      <c r="J92" s="252" t="str">
        <f>'Оценка'!B97</f>
        <v>Frontend</v>
      </c>
      <c r="K92" s="253">
        <f t="shared" si="6"/>
        <v>46121</v>
      </c>
      <c r="L92" s="253" t="str">
        <f t="shared" si="7"/>
        <v>#REF!</v>
      </c>
    </row>
    <row r="93">
      <c r="A93" s="247" t="str">
        <f>'Оценка'!C98</f>
        <v/>
      </c>
      <c r="B93" s="247" t="str">
        <f>'Оценка'!D98</f>
        <v/>
      </c>
      <c r="C93" s="249" t="str">
        <f t="shared" si="1"/>
        <v/>
      </c>
      <c r="D93" s="249" t="str">
        <f t="shared" si="2"/>
        <v/>
      </c>
      <c r="E93" s="249" t="str">
        <f t="shared" si="3"/>
        <v/>
      </c>
      <c r="F93" s="158" t="str">
        <f t="shared" si="4"/>
        <v/>
      </c>
      <c r="G93" s="247" t="str">
        <f>IF(A93&lt;&gt;"", 'Sales (Итоги оценки)'!$C$4, "")</f>
        <v/>
      </c>
      <c r="H93" s="249" t="str">
        <f t="shared" si="5"/>
        <v/>
      </c>
      <c r="I93" s="251" t="str">
        <f>IF(OR(ISBLANK(#REF!), ISBLANK(#REF!)), "", 
(AVERAGE(
  (
    (#REF! + 4*AVERAGE(#REF!) + #REF!)/6 - 
    2*((#REF! - #REF!)/6)
  )/5 , 
  (
    (#REF! + 4*AVERAGE(#REF!) + #REF!)/6 + 
    2*((#REF! - #REF!)/6)
  )/5
) * 
(
  (
    ('PM (Расчеты)'!$C$22/8 + 'PM (Расчеты)'!$C$23/40) + 
    'PM (Расчеты)'!$C$21/100 + 'PM (Расчеты)'!$C$25/100 + 
    'PM (Расчеты)'!$C$26/100
  ) + 1
)))
 * 8 * 60 * 60
</f>
        <v>#REF!</v>
      </c>
      <c r="J93" s="252" t="str">
        <f>'Оценка'!B98</f>
        <v/>
      </c>
      <c r="K93" s="253" t="str">
        <f t="shared" si="6"/>
        <v/>
      </c>
      <c r="L93" s="253" t="str">
        <f t="shared" si="7"/>
        <v/>
      </c>
    </row>
    <row r="94">
      <c r="A94" s="247" t="str">
        <f>'Оценка'!C99</f>
        <v>Интеграции</v>
      </c>
      <c r="B94" s="247" t="str">
        <f>'Оценка'!D99</f>
        <v/>
      </c>
      <c r="C94" s="249">
        <f t="shared" si="1"/>
        <v>0</v>
      </c>
      <c r="D94" s="249">
        <f t="shared" si="2"/>
        <v>0</v>
      </c>
      <c r="E94" s="249">
        <f t="shared" si="3"/>
        <v>1</v>
      </c>
      <c r="F94" s="158">
        <f t="shared" si="4"/>
        <v>1</v>
      </c>
      <c r="G94" s="250" t="str">
        <f>IF(A94&lt;&gt;"", 'Sales (Итоги оценки)'!$C$4, "")</f>
        <v>P2P платформа</v>
      </c>
      <c r="H94" s="249">
        <f t="shared" si="5"/>
        <v>1</v>
      </c>
      <c r="I94" s="251" t="str">
        <f>IF(OR(ISBLANK(#REF!), ISBLANK(#REF!)), "", 
(AVERAGE(
  (
    (#REF! + 4*AVERAGE(#REF!) + #REF!)/6 - 
    2*((#REF! - #REF!)/6)
  )/5 , 
  (
    (#REF! + 4*AVERAGE(#REF!) + #REF!)/6 + 
    2*((#REF! - #REF!)/6)
  )/5
) * 
(
  (
    ('PM (Расчеты)'!$C$22/8 + 'PM (Расчеты)'!$C$23/40) + 
    'PM (Расчеты)'!$C$21/100 + 'PM (Расчеты)'!$C$25/100 + 
    'PM (Расчеты)'!$C$26/100
  ) + 1
)))
 * 8 * 60 * 60
</f>
        <v>#REF!</v>
      </c>
      <c r="J94" s="252" t="str">
        <f>'Оценка'!B99</f>
        <v/>
      </c>
      <c r="K94" s="253">
        <f t="shared" si="6"/>
        <v>46121</v>
      </c>
      <c r="L94" s="253" t="str">
        <f t="shared" si="7"/>
        <v>#REF!</v>
      </c>
    </row>
    <row r="95">
      <c r="A95" s="247" t="str">
        <f>'Оценка'!C100</f>
        <v>KYC Интеграция</v>
      </c>
      <c r="B95" s="247" t="str">
        <f>'Оценка'!D100</f>
        <v>Изучение документации КУС</v>
      </c>
      <c r="C95" s="249">
        <f t="shared" si="1"/>
        <v>0</v>
      </c>
      <c r="D95" s="249">
        <f t="shared" si="2"/>
        <v>0</v>
      </c>
      <c r="E95" s="249">
        <f t="shared" si="3"/>
        <v>1</v>
      </c>
      <c r="F95" s="158">
        <f t="shared" si="4"/>
        <v>1</v>
      </c>
      <c r="G95" s="250" t="str">
        <f>IF(A95&lt;&gt;"", 'Sales (Итоги оценки)'!$C$4, "")</f>
        <v>P2P платформа</v>
      </c>
      <c r="H95" s="249">
        <f t="shared" si="5"/>
        <v>1</v>
      </c>
      <c r="I95" s="251" t="str">
        <f>IF(OR(ISBLANK(#REF!), ISBLANK(#REF!)), "", 
(AVERAGE(
  (
    (#REF! + 4*AVERAGE(#REF!) + #REF!)/6 - 
    2*((#REF! - #REF!)/6)
  )/5 , 
  (
    (#REF! + 4*AVERAGE(#REF!) + #REF!)/6 + 
    2*((#REF! - #REF!)/6)
  )/5
) * 
(
  (
    ('PM (Расчеты)'!$C$22/8 + 'PM (Расчеты)'!$C$23/40) + 
    'PM (Расчеты)'!$C$21/100 + 'PM (Расчеты)'!$C$25/100 + 
    'PM (Расчеты)'!$C$26/100
  ) + 1
)))
 * 8 * 60 * 60
</f>
        <v>#REF!</v>
      </c>
      <c r="J95" s="252" t="str">
        <f>'Оценка'!B100</f>
        <v>Frontend</v>
      </c>
      <c r="K95" s="253">
        <f t="shared" si="6"/>
        <v>46121</v>
      </c>
      <c r="L95" s="253" t="str">
        <f t="shared" si="7"/>
        <v>#REF!</v>
      </c>
    </row>
    <row r="96">
      <c r="A96" s="247" t="str">
        <f>'Оценка'!C101</f>
        <v>Чат Интеграция</v>
      </c>
      <c r="B96" s="247" t="str">
        <f>'Оценка'!D101</f>
        <v>Изучение документации чата</v>
      </c>
      <c r="C96" s="249">
        <f t="shared" si="1"/>
        <v>0</v>
      </c>
      <c r="D96" s="249">
        <f t="shared" si="2"/>
        <v>0</v>
      </c>
      <c r="E96" s="249">
        <f t="shared" si="3"/>
        <v>1</v>
      </c>
      <c r="F96" s="158">
        <f t="shared" si="4"/>
        <v>1</v>
      </c>
      <c r="G96" s="250" t="str">
        <f>IF(A96&lt;&gt;"", 'Sales (Итоги оценки)'!$C$4, "")</f>
        <v>P2P платформа</v>
      </c>
      <c r="H96" s="249">
        <f t="shared" si="5"/>
        <v>1</v>
      </c>
      <c r="I96" s="251">
        <f>IF(OR(ISBLANK('Оценка'!F97), ISBLANK('Оценка'!G97)), "", 
(AVERAGE(
  (
    ('Оценка'!F97 + 4*AVERAGE('Оценка'!F97:G97) + 'Оценка'!G97)/6 - 
    2*(('Оценка'!G97 - 'Оценка'!F97)/6)
  )/5 , 
  (
    ('Оценка'!F97 + 4*AVERAGE('Оценка'!F97:G97) + 'Оценка'!G97)/6 + 
    2*(('Оценка'!G97 - 'Оценка'!F97)/6)
  )/5
) * 
(
  (
    ('PM (Расчеты)'!$C$22/8 + 'PM (Расчеты)'!$C$23/40) + 
    'PM (Расчеты)'!$C$21/100 + 'PM (Расчеты)'!$C$25/100 + 
    'PM (Расчеты)'!$C$26/100
  ) + 1
)))
 * 8 * 60 * 60
</f>
        <v>13824</v>
      </c>
      <c r="J96" s="252" t="str">
        <f>'Оценка'!B101</f>
        <v>Frontend</v>
      </c>
      <c r="K96" s="253">
        <f t="shared" si="6"/>
        <v>46121</v>
      </c>
      <c r="L96" s="253">
        <f t="shared" si="7"/>
        <v>46124.84</v>
      </c>
    </row>
    <row r="97">
      <c r="A97" s="247" t="str">
        <f>'Оценка'!C102</f>
        <v/>
      </c>
      <c r="B97" s="247" t="str">
        <f>'Оценка'!D102</f>
        <v>Адаптив</v>
      </c>
      <c r="C97" s="249" t="str">
        <f t="shared" si="1"/>
        <v/>
      </c>
      <c r="D97" s="249" t="str">
        <f t="shared" si="2"/>
        <v/>
      </c>
      <c r="E97" s="249" t="str">
        <f t="shared" si="3"/>
        <v/>
      </c>
      <c r="F97" s="158" t="str">
        <f t="shared" si="4"/>
        <v/>
      </c>
      <c r="G97" s="247" t="str">
        <f>IF(A97&lt;&gt;"", 'Sales (Итоги оценки)'!$C$4, "")</f>
        <v/>
      </c>
      <c r="H97" s="249" t="str">
        <f t="shared" si="5"/>
        <v/>
      </c>
      <c r="I97" s="251">
        <f>IF(OR(ISBLANK('Оценка'!F98), ISBLANK('Оценка'!G98)), "", 
(AVERAGE(
  (
    ('Оценка'!F98 + 4*AVERAGE('Оценка'!F98:G98) + 'Оценка'!G98)/6 - 
    2*(('Оценка'!G98 - 'Оценка'!F98)/6)
  )/5 , 
  (
    ('Оценка'!F98 + 4*AVERAGE('Оценка'!F98:G98) + 'Оценка'!G98)/6 + 
    2*(('Оценка'!G98 - 'Оценка'!F98)/6)
  )/5
) * 
(
  (
    ('PM (Расчеты)'!$C$22/8 + 'PM (Расчеты)'!$C$23/40) + 
    'PM (Расчеты)'!$C$21/100 + 'PM (Расчеты)'!$C$25/100 + 
    'PM (Расчеты)'!$C$26/100
  ) + 1
)))
 * 8 * 60 * 60
</f>
        <v>0</v>
      </c>
      <c r="J97" s="252" t="str">
        <f>'Оценка'!B102</f>
        <v/>
      </c>
      <c r="K97" s="253" t="str">
        <f t="shared" si="6"/>
        <v/>
      </c>
      <c r="L97" s="253" t="str">
        <f t="shared" si="7"/>
        <v/>
      </c>
    </row>
    <row r="98">
      <c r="A98" s="247" t="str">
        <f>'Оценка'!C103</f>
        <v>Доработка интерфейсов под мобильные устройства</v>
      </c>
      <c r="B98" s="247" t="str">
        <f>'Оценка'!D103</f>
        <v/>
      </c>
      <c r="C98" s="249">
        <f t="shared" si="1"/>
        <v>0</v>
      </c>
      <c r="D98" s="249">
        <f t="shared" si="2"/>
        <v>0</v>
      </c>
      <c r="E98" s="249">
        <f t="shared" si="3"/>
        <v>1</v>
      </c>
      <c r="F98" s="158">
        <f t="shared" si="4"/>
        <v>1</v>
      </c>
      <c r="G98" s="250" t="str">
        <f>IF(A98&lt;&gt;"", 'Sales (Итоги оценки)'!$C$4, "")</f>
        <v>P2P платформа</v>
      </c>
      <c r="H98" s="249">
        <f t="shared" si="5"/>
        <v>1</v>
      </c>
      <c r="I98" s="251">
        <f>IF(OR(ISBLANK('Оценка'!F99), ISBLANK('Оценка'!G99)), "", 
(AVERAGE(
  (
    ('Оценка'!F99 + 4*AVERAGE('Оценка'!F99:G99) + 'Оценка'!G99)/6 - 
    2*(('Оценка'!G99 - 'Оценка'!F99)/6)
  )/5 , 
  (
    ('Оценка'!F99 + 4*AVERAGE('Оценка'!F99:G99) + 'Оценка'!G99)/6 + 
    2*(('Оценка'!G99 - 'Оценка'!F99)/6)
  )/5
) * 
(
  (
    ('PM (Расчеты)'!$C$22/8 + 'PM (Расчеты)'!$C$23/40) + 
    'PM (Расчеты)'!$C$21/100 + 'PM (Расчеты)'!$C$25/100 + 
    'PM (Расчеты)'!$C$26/100
  ) + 1
)))
 * 8 * 60 * 60
</f>
        <v>0</v>
      </c>
      <c r="J98" s="252" t="str">
        <f>'Оценка'!B103</f>
        <v>Frontend</v>
      </c>
      <c r="K98" s="253">
        <f t="shared" si="6"/>
        <v>46121</v>
      </c>
      <c r="L98" s="253">
        <f t="shared" si="7"/>
        <v>46121</v>
      </c>
    </row>
    <row r="99">
      <c r="A99" s="247" t="str">
        <f>'Оценка'!C104</f>
        <v>Unit-тестирование Backend</v>
      </c>
      <c r="B99" s="247" t="str">
        <f>'Оценка'!D104</f>
        <v>Jest, покрытие сервисов (User, Trading, Payment, Dispute, Rewards) &gt; 70%</v>
      </c>
      <c r="C99" s="249">
        <f t="shared" si="1"/>
        <v>0</v>
      </c>
      <c r="D99" s="249">
        <f t="shared" si="2"/>
        <v>0</v>
      </c>
      <c r="E99" s="249">
        <f t="shared" si="3"/>
        <v>1</v>
      </c>
      <c r="F99" s="158">
        <f t="shared" si="4"/>
        <v>1</v>
      </c>
      <c r="G99" s="250" t="str">
        <f>IF(A99&lt;&gt;"", 'Sales (Итоги оценки)'!$C$4, "")</f>
        <v>P2P платформа</v>
      </c>
      <c r="H99" s="249">
        <f t="shared" si="5"/>
        <v>1</v>
      </c>
      <c r="I99" s="251">
        <f>IF(OR(ISBLANK('Оценка'!F100), ISBLANK('Оценка'!G100)), "", 
(AVERAGE(
  (
    ('Оценка'!F100 + 4*AVERAGE('Оценка'!F100:G100) + 'Оценка'!G100)/6 - 
    2*(('Оценка'!G100 - 'Оценка'!F100)/6)
  )/5 , 
  (
    ('Оценка'!F100 + 4*AVERAGE('Оценка'!F100:G100) + 'Оценка'!G100)/6 + 
    2*(('Оценка'!G100 - 'Оценка'!F100)/6)
  )/5
) * 
(
  (
    ('PM (Расчеты)'!$C$22/8 + 'PM (Расчеты)'!$C$23/40) + 
    'PM (Расчеты)'!$C$21/100 + 'PM (Расчеты)'!$C$25/100 + 
    'PM (Расчеты)'!$C$26/100
  ) + 1
)))
 * 8 * 60 * 60
</f>
        <v>9216</v>
      </c>
      <c r="J99" s="252" t="str">
        <f>'Оценка'!B104</f>
        <v>Backend</v>
      </c>
      <c r="K99" s="253">
        <f t="shared" si="6"/>
        <v>46121</v>
      </c>
      <c r="L99" s="253">
        <f t="shared" si="7"/>
        <v>46123.56</v>
      </c>
    </row>
    <row r="100">
      <c r="A100" s="247" t="str">
        <f t="shared" ref="A100:B100" si="19">#REF!</f>
        <v>#REF!</v>
      </c>
      <c r="B100" s="247" t="str">
        <f t="shared" si="19"/>
        <v>#REF!</v>
      </c>
      <c r="C100" s="249" t="str">
        <f t="shared" si="1"/>
        <v>#REF!</v>
      </c>
      <c r="D100" s="249" t="str">
        <f t="shared" si="2"/>
        <v>#REF!</v>
      </c>
      <c r="E100" s="249" t="str">
        <f t="shared" si="3"/>
        <v>#REF!</v>
      </c>
      <c r="F100" s="158" t="str">
        <f t="shared" si="4"/>
        <v>#REF!</v>
      </c>
      <c r="G100" s="247" t="str">
        <f>IF(A100&lt;&gt;"", 'Sales (Итоги оценки)'!$C$4, "")</f>
        <v>#REF!</v>
      </c>
      <c r="H100" s="249" t="str">
        <f t="shared" si="5"/>
        <v>#REF!</v>
      </c>
      <c r="I100" s="251">
        <f>IF(OR(ISBLANK('Оценка'!F101), ISBLANK('Оценка'!G101)), "", 
(AVERAGE(
  (
    ('Оценка'!F101 + 4*AVERAGE('Оценка'!F101:G101) + 'Оценка'!G101)/6 - 
    2*(('Оценка'!G101 - 'Оценка'!F101)/6)
  )/5 , 
  (
    ('Оценка'!F101 + 4*AVERAGE('Оценка'!F101:G101) + 'Оценка'!G101)/6 + 
    2*(('Оценка'!G101 - 'Оценка'!F101)/6)
  )/5
) * 
(
  (
    ('PM (Расчеты)'!$C$22/8 + 'PM (Расчеты)'!$C$23/40) + 
    'PM (Расчеты)'!$C$21/100 + 'PM (Расчеты)'!$C$25/100 + 
    'PM (Расчеты)'!$C$26/100
  ) + 1
)))
 * 8 * 60 * 60
</f>
        <v>9216</v>
      </c>
      <c r="J100" s="252" t="str">
        <f>#REF!</f>
        <v>#REF!</v>
      </c>
      <c r="K100" s="253" t="str">
        <f t="shared" si="6"/>
        <v>#REF!</v>
      </c>
      <c r="L100" s="253" t="str">
        <f t="shared" si="7"/>
        <v>#REF!</v>
      </c>
    </row>
    <row r="101">
      <c r="A101" s="247" t="str">
        <f>'Оценка'!C105</f>
        <v>Интеграционное тестирование</v>
      </c>
      <c r="B101" s="247" t="str">
        <f>'Оценка'!D105</f>
        <v>E2E: регистрация, создание ордера, сделка happy path, отмена, диспут, Pit на testnet</v>
      </c>
      <c r="C101" s="249">
        <f t="shared" si="1"/>
        <v>0</v>
      </c>
      <c r="D101" s="249">
        <f t="shared" si="2"/>
        <v>0</v>
      </c>
      <c r="E101" s="249">
        <f t="shared" si="3"/>
        <v>1</v>
      </c>
      <c r="F101" s="158">
        <f t="shared" si="4"/>
        <v>1</v>
      </c>
      <c r="G101" s="250" t="str">
        <f>IF(A101&lt;&gt;"", 'Sales (Итоги оценки)'!$C$4, "")</f>
        <v>P2P платформа</v>
      </c>
      <c r="H101" s="249">
        <f t="shared" si="5"/>
        <v>1</v>
      </c>
      <c r="I101" s="251">
        <f>IF(OR(ISBLANK('Оценка'!F102), ISBLANK('Оценка'!G102)), "", 
(AVERAGE(
  (
    ('Оценка'!F102 + 4*AVERAGE('Оценка'!F102:G102) + 'Оценка'!G102)/6 - 
    2*(('Оценка'!G102 - 'Оценка'!F102)/6)
  )/5 , 
  (
    ('Оценка'!F102 + 4*AVERAGE('Оценка'!F102:G102) + 'Оценка'!G102)/6 + 
    2*(('Оценка'!G102 - 'Оценка'!F102)/6)
  )/5
) * 
(
  (
    ('PM (Расчеты)'!$C$22/8 + 'PM (Расчеты)'!$C$23/40) + 
    'PM (Расчеты)'!$C$21/100 + 'PM (Расчеты)'!$C$25/100 + 
    'PM (Расчеты)'!$C$26/100
  ) + 1
)))
 * 8 * 60 * 60
</f>
        <v>0</v>
      </c>
      <c r="J101" s="252" t="str">
        <f>'Оценка'!B105</f>
        <v>QA</v>
      </c>
      <c r="K101" s="253">
        <f t="shared" si="6"/>
        <v>46121</v>
      </c>
      <c r="L101" s="253">
        <f t="shared" si="7"/>
        <v>46121</v>
      </c>
    </row>
    <row r="102">
      <c r="A102" s="247" t="str">
        <f t="shared" ref="A102:B102" si="20">#REF!</f>
        <v>#REF!</v>
      </c>
      <c r="B102" s="247" t="str">
        <f t="shared" si="20"/>
        <v>#REF!</v>
      </c>
      <c r="C102" s="249" t="str">
        <f t="shared" si="1"/>
        <v>#REF!</v>
      </c>
      <c r="D102" s="249" t="str">
        <f t="shared" si="2"/>
        <v>#REF!</v>
      </c>
      <c r="E102" s="249" t="str">
        <f t="shared" si="3"/>
        <v>#REF!</v>
      </c>
      <c r="F102" s="158" t="str">
        <f t="shared" si="4"/>
        <v>#REF!</v>
      </c>
      <c r="G102" s="247" t="str">
        <f>IF(A102&lt;&gt;"", 'Sales (Итоги оценки)'!$C$4, "")</f>
        <v>#REF!</v>
      </c>
      <c r="H102" s="249" t="str">
        <f t="shared" si="5"/>
        <v>#REF!</v>
      </c>
      <c r="I102" s="251">
        <f>IF(OR(ISBLANK('Оценка'!F103), ISBLANK('Оценка'!G103)), "", 
(AVERAGE(
  (
    ('Оценка'!F103 + 4*AVERAGE('Оценка'!F103:G103) + 'Оценка'!G103)/6 - 
    2*(('Оценка'!G103 - 'Оценка'!F103)/6)
  )/5 , 
  (
    ('Оценка'!F103 + 4*AVERAGE('Оценка'!F103:G103) + 'Оценка'!G103)/6 + 
    2*(('Оценка'!G103 - 'Оценка'!F103)/6)
  )/5
) * 
(
  (
    ('PM (Расчеты)'!$C$22/8 + 'PM (Расчеты)'!$C$23/40) + 
    'PM (Расчеты)'!$C$21/100 + 'PM (Расчеты)'!$C$25/100 + 
    'PM (Расчеты)'!$C$26/100
  ) + 1
)))
 * 8 * 60 * 60
</f>
        <v>32256</v>
      </c>
      <c r="J102" s="252" t="str">
        <f>#REF!</f>
        <v>#REF!</v>
      </c>
      <c r="K102" s="253" t="str">
        <f t="shared" si="6"/>
        <v>#REF!</v>
      </c>
      <c r="L102" s="253" t="str">
        <f t="shared" si="7"/>
        <v>#REF!</v>
      </c>
    </row>
    <row r="103">
      <c r="A103" s="247" t="str">
        <f>'Оценка'!C106</f>
        <v>Тестирование безопасности</v>
      </c>
      <c r="B103" s="247" t="str">
        <f>'Оценка'!D106</f>
        <v>Авторизация, валидация, rate limiting, CORS, шифрование, пентест (опционально)</v>
      </c>
      <c r="C103" s="249">
        <f t="shared" si="1"/>
        <v>0</v>
      </c>
      <c r="D103" s="249">
        <f t="shared" si="2"/>
        <v>0</v>
      </c>
      <c r="E103" s="249">
        <f t="shared" si="3"/>
        <v>1</v>
      </c>
      <c r="F103" s="158">
        <f t="shared" si="4"/>
        <v>1</v>
      </c>
      <c r="G103" s="250" t="str">
        <f>IF(A103&lt;&gt;"", 'Sales (Итоги оценки)'!$C$4, "")</f>
        <v>P2P платформа</v>
      </c>
      <c r="H103" s="249">
        <f t="shared" si="5"/>
        <v>1</v>
      </c>
      <c r="I103" s="251">
        <f>IF(OR(ISBLANK('Оценка'!F104), ISBLANK('Оценка'!G104)), "", 
(AVERAGE(
  (
    ('Оценка'!F104 + 4*AVERAGE('Оценка'!F104:G104) + 'Оценка'!G104)/6 - 
    2*(('Оценка'!G104 - 'Оценка'!F104)/6)
  )/5 , 
  (
    ('Оценка'!F104 + 4*AVERAGE('Оценка'!F104:G104) + 'Оценка'!G104)/6 + 
    2*(('Оценка'!G104 - 'Оценка'!F104)/6)
  )/5
) * 
(
  (
    ('PM (Расчеты)'!$C$22/8 + 'PM (Расчеты)'!$C$23/40) + 
    'PM (Расчеты)'!$C$21/100 + 'PM (Расчеты)'!$C$25/100 + 
    'PM (Расчеты)'!$C$26/100
  ) + 1
)))
 * 8 * 60 * 60
</f>
        <v>23040</v>
      </c>
      <c r="J103" s="252" t="str">
        <f>'Оценка'!B106</f>
        <v>QA</v>
      </c>
      <c r="K103" s="253">
        <f t="shared" si="6"/>
        <v>46121</v>
      </c>
      <c r="L103" s="253">
        <f t="shared" si="7"/>
        <v>46127.4</v>
      </c>
    </row>
    <row r="104">
      <c r="A104" s="247" t="str">
        <f>'Оценка'!C107</f>
        <v>Багфикс и регрессия</v>
      </c>
      <c r="B104" s="247" t="str">
        <f>'Оценка'!D107</f>
        <v>Сбор, приоритизация, исправление P0/P1</v>
      </c>
      <c r="C104" s="249">
        <f t="shared" si="1"/>
        <v>0</v>
      </c>
      <c r="D104" s="249">
        <f t="shared" si="2"/>
        <v>0</v>
      </c>
      <c r="E104" s="249">
        <f t="shared" si="3"/>
        <v>1</v>
      </c>
      <c r="F104" s="158">
        <f t="shared" si="4"/>
        <v>1</v>
      </c>
      <c r="G104" s="250" t="str">
        <f>IF(A104&lt;&gt;"", 'Sales (Итоги оценки)'!$C$4, "")</f>
        <v>P2P платформа</v>
      </c>
      <c r="H104" s="249">
        <f t="shared" si="5"/>
        <v>1</v>
      </c>
      <c r="I104" s="251" t="str">
        <f>IF(OR(ISBLANK(#REF!), ISBLANK(#REF!)), "", 
(AVERAGE(
  (
    (#REF! + 4*AVERAGE(#REF!) + #REF!)/6 - 
    2*((#REF! - #REF!)/6)
  )/5 , 
  (
    (#REF! + 4*AVERAGE(#REF!) + #REF!)/6 + 
    2*((#REF! - #REF!)/6)
  )/5
) * 
(
  (
    ('PM (Расчеты)'!$C$22/8 + 'PM (Расчеты)'!$C$23/40) + 
    'PM (Расчеты)'!$C$21/100 + 'PM (Расчеты)'!$C$25/100 + 
    'PM (Расчеты)'!$C$26/100
  ) + 1
)))
 * 8 * 60 * 60
</f>
        <v>#REF!</v>
      </c>
      <c r="J104" s="252" t="str">
        <f>'Оценка'!B107</f>
        <v>QA</v>
      </c>
      <c r="K104" s="253">
        <f t="shared" si="6"/>
        <v>46121</v>
      </c>
      <c r="L104" s="253" t="str">
        <f t="shared" si="7"/>
        <v>#REF!</v>
      </c>
    </row>
    <row r="105">
      <c r="A105" s="247" t="str">
        <f>'Оценка'!C108</f>
        <v/>
      </c>
      <c r="B105" s="247" t="str">
        <f>'Оценка'!D108</f>
        <v/>
      </c>
      <c r="C105" s="249" t="str">
        <f t="shared" si="1"/>
        <v/>
      </c>
      <c r="D105" s="249" t="str">
        <f t="shared" si="2"/>
        <v/>
      </c>
      <c r="E105" s="249" t="str">
        <f t="shared" si="3"/>
        <v/>
      </c>
      <c r="F105" s="158" t="str">
        <f t="shared" si="4"/>
        <v/>
      </c>
      <c r="G105" s="247" t="str">
        <f>IF(A105&lt;&gt;"", 'Sales (Итоги оценки)'!$C$4, "")</f>
        <v/>
      </c>
      <c r="H105" s="249" t="str">
        <f t="shared" si="5"/>
        <v/>
      </c>
      <c r="I105" s="251">
        <f>IF(OR(ISBLANK('Оценка'!F105), ISBLANK('Оценка'!G105)), "", 
(AVERAGE(
  (
    ('Оценка'!F105 + 4*AVERAGE('Оценка'!F105:G105) + 'Оценка'!G105)/6 - 
    2*(('Оценка'!G105 - 'Оценка'!F105)/6)
  )/5 , 
  (
    ('Оценка'!F105 + 4*AVERAGE('Оценка'!F105:G105) + 'Оценка'!G105)/6 + 
    2*(('Оценка'!G105 - 'Оценка'!F105)/6)
  )/5
) * 
(
  (
    ('PM (Расчеты)'!$C$22/8 + 'PM (Расчеты)'!$C$23/40) + 
    'PM (Расчеты)'!$C$21/100 + 'PM (Расчеты)'!$C$25/100 + 
    'PM (Расчеты)'!$C$26/100
  ) + 1
)))
 * 8 * 60 * 60
</f>
        <v>138240</v>
      </c>
      <c r="J105" s="252" t="str">
        <f>'Оценка'!B108</f>
        <v/>
      </c>
      <c r="K105" s="253" t="str">
        <f t="shared" si="6"/>
        <v/>
      </c>
      <c r="L105" s="253" t="str">
        <f t="shared" si="7"/>
        <v/>
      </c>
    </row>
    <row r="106">
      <c r="A106" s="247" t="str">
        <f>'Оценка'!C109</f>
        <v>Сопровождение разработки, доработки UX/UI</v>
      </c>
      <c r="B106" s="247" t="str">
        <f>'Оценка'!D109</f>
        <v/>
      </c>
      <c r="C106" s="249">
        <f t="shared" si="1"/>
        <v>0</v>
      </c>
      <c r="D106" s="249">
        <f t="shared" si="2"/>
        <v>0</v>
      </c>
      <c r="E106" s="249">
        <f t="shared" si="3"/>
        <v>1</v>
      </c>
      <c r="F106" s="158">
        <f t="shared" si="4"/>
        <v>1</v>
      </c>
      <c r="G106" s="250" t="str">
        <f>IF(A106&lt;&gt;"", 'Sales (Итоги оценки)'!$C$4, "")</f>
        <v>P2P платформа</v>
      </c>
      <c r="H106" s="249">
        <f t="shared" si="5"/>
        <v>1</v>
      </c>
      <c r="I106" s="251" t="str">
        <f>IF(OR(ISBLANK(#REF!), ISBLANK(#REF!)), "", 
(AVERAGE(
  (
    (#REF! + 4*AVERAGE(#REF!) + #REF!)/6 - 
    2*((#REF! - #REF!)/6)
  )/5 , 
  (
    (#REF! + 4*AVERAGE(#REF!) + #REF!)/6 + 
    2*((#REF! - #REF!)/6)
  )/5
) * 
(
  (
    ('PM (Расчеты)'!$C$22/8 + 'PM (Расчеты)'!$C$23/40) + 
    'PM (Расчеты)'!$C$21/100 + 'PM (Расчеты)'!$C$25/100 + 
    'PM (Расчеты)'!$C$26/100
  ) + 1
)))
 * 8 * 60 * 60
</f>
        <v>#REF!</v>
      </c>
      <c r="J106" s="252" t="str">
        <f>'Оценка'!B109</f>
        <v>Аналитик</v>
      </c>
      <c r="K106" s="253">
        <f t="shared" si="6"/>
        <v>46121</v>
      </c>
      <c r="L106" s="253" t="str">
        <f t="shared" si="7"/>
        <v>#REF!</v>
      </c>
    </row>
    <row r="107">
      <c r="A107" s="247" t="str">
        <f>'Оценка'!C110</f>
        <v/>
      </c>
      <c r="B107" s="247" t="str">
        <f>'Оценка'!D110</f>
        <v/>
      </c>
      <c r="C107" s="249" t="str">
        <f t="shared" si="1"/>
        <v/>
      </c>
      <c r="D107" s="249" t="str">
        <f t="shared" si="2"/>
        <v/>
      </c>
      <c r="E107" s="249" t="str">
        <f t="shared" si="3"/>
        <v/>
      </c>
      <c r="F107" s="158" t="str">
        <f t="shared" si="4"/>
        <v/>
      </c>
      <c r="G107" s="247" t="str">
        <f>IF(A107&lt;&gt;"", 'Sales (Итоги оценки)'!$C$4, "")</f>
        <v/>
      </c>
      <c r="H107" s="249" t="str">
        <f t="shared" si="5"/>
        <v/>
      </c>
      <c r="I107" s="251">
        <f>IF(OR(ISBLANK('Оценка'!F106), ISBLANK('Оценка'!G106)), "", 
(AVERAGE(
  (
    ('Оценка'!F106 + 4*AVERAGE('Оценка'!F106:G106) + 'Оценка'!G106)/6 - 
    2*(('Оценка'!G106 - 'Оценка'!F106)/6)
  )/5 , 
  (
    ('Оценка'!F106 + 4*AVERAGE('Оценка'!F106:G106) + 'Оценка'!G106)/6 + 
    2*(('Оценка'!G106 - 'Оценка'!F106)/6)
  )/5
) * 
(
  (
    ('PM (Расчеты)'!$C$22/8 + 'PM (Расчеты)'!$C$23/40) + 
    'PM (Расчеты)'!$C$21/100 + 'PM (Расчеты)'!$C$25/100 + 
    'PM (Расчеты)'!$C$26/100
  ) + 1
)))
 * 8 * 60 * 60
</f>
        <v>0</v>
      </c>
      <c r="J107" s="252" t="str">
        <f>'Оценка'!B110</f>
        <v/>
      </c>
      <c r="K107" s="253" t="str">
        <f t="shared" si="6"/>
        <v/>
      </c>
      <c r="L107" s="253" t="str">
        <f t="shared" si="7"/>
        <v/>
      </c>
    </row>
    <row r="108">
      <c r="A108" s="247" t="str">
        <f>'Оценка'!C111</f>
        <v>телеграм интеграция</v>
      </c>
      <c r="B108" s="247" t="str">
        <f>'Оценка'!D111</f>
        <v/>
      </c>
      <c r="C108" s="249">
        <f t="shared" si="1"/>
        <v>0</v>
      </c>
      <c r="D108" s="249">
        <f t="shared" si="2"/>
        <v>0</v>
      </c>
      <c r="E108" s="249">
        <f t="shared" si="3"/>
        <v>1</v>
      </c>
      <c r="F108" s="158">
        <f t="shared" si="4"/>
        <v>1</v>
      </c>
      <c r="G108" s="250" t="str">
        <f>IF(A108&lt;&gt;"", 'Sales (Итоги оценки)'!$C$4, "")</f>
        <v>P2P платформа</v>
      </c>
      <c r="H108" s="249">
        <f t="shared" si="5"/>
        <v>1</v>
      </c>
      <c r="I108" s="251">
        <f>IF(OR(ISBLANK('Оценка'!F107), ISBLANK('Оценка'!G107)), "", 
(AVERAGE(
  (
    ('Оценка'!F107 + 4*AVERAGE('Оценка'!F107:G107) + 'Оценка'!G107)/6 - 
    2*(('Оценка'!G107 - 'Оценка'!F107)/6)
  )/5 , 
  (
    ('Оценка'!F107 + 4*AVERAGE('Оценка'!F107:G107) + 'Оценка'!G107)/6 + 
    2*(('Оценка'!G107 - 'Оценка'!F107)/6)
  )/5
) * 
(
  (
    ('PM (Расчеты)'!$C$22/8 + 'PM (Расчеты)'!$C$23/40) + 
    'PM (Расчеты)'!$C$21/100 + 'PM (Расчеты)'!$C$25/100 + 
    'PM (Расчеты)'!$C$26/100
  ) + 1
)))
 * 8 * 60 * 60
</f>
        <v>0</v>
      </c>
      <c r="J108" s="252" t="str">
        <f>'Оценка'!B111</f>
        <v/>
      </c>
      <c r="K108" s="253">
        <f t="shared" si="6"/>
        <v>46121</v>
      </c>
      <c r="L108" s="253">
        <f t="shared" si="7"/>
        <v>46121</v>
      </c>
    </row>
    <row r="109">
      <c r="A109" s="247" t="str">
        <f>'Оценка'!C112</f>
        <v>Сообщение в телеграм канал о появлении OTC сделок</v>
      </c>
      <c r="B109" s="247" t="str">
        <f>'Оценка'!D112</f>
        <v>появилось новая сделка в стакане</v>
      </c>
      <c r="C109" s="249">
        <f t="shared" si="1"/>
        <v>0</v>
      </c>
      <c r="D109" s="249">
        <f t="shared" si="2"/>
        <v>0</v>
      </c>
      <c r="E109" s="249">
        <f t="shared" si="3"/>
        <v>1</v>
      </c>
      <c r="F109" s="158">
        <f t="shared" si="4"/>
        <v>1</v>
      </c>
      <c r="G109" s="250" t="str">
        <f>IF(A109&lt;&gt;"", 'Sales (Итоги оценки)'!$C$4, "")</f>
        <v>P2P платформа</v>
      </c>
      <c r="H109" s="249">
        <f t="shared" si="5"/>
        <v>1</v>
      </c>
      <c r="I109" s="251">
        <f>IF(OR(ISBLANK('Оценка'!F108), ISBLANK('Оценка'!G108)), "", 
(AVERAGE(
  (
    ('Оценка'!F108 + 4*AVERAGE('Оценка'!F108:G108) + 'Оценка'!G108)/6 - 
    2*(('Оценка'!G108 - 'Оценка'!F108)/6)
  )/5 , 
  (
    ('Оценка'!F108 + 4*AVERAGE('Оценка'!F108:G108) + 'Оценка'!G108)/6 + 
    2*(('Оценка'!G108 - 'Оценка'!F108)/6)
  )/5
) * 
(
  (
    ('PM (Расчеты)'!$C$22/8 + 'PM (Расчеты)'!$C$23/40) + 
    'PM (Расчеты)'!$C$21/100 + 'PM (Расчеты)'!$C$25/100 + 
    'PM (Расчеты)'!$C$26/100
  ) + 1
)))
 * 8 * 60 * 60
</f>
        <v>0</v>
      </c>
      <c r="J109" s="252" t="str">
        <f>'Оценка'!B112</f>
        <v>Backend</v>
      </c>
      <c r="K109" s="253">
        <f t="shared" si="6"/>
        <v>46121</v>
      </c>
      <c r="L109" s="253">
        <f t="shared" si="7"/>
        <v>46121</v>
      </c>
    </row>
    <row r="110">
      <c r="A110" s="247" t="str">
        <f>'Оценка'!C113</f>
        <v>уведомление о статусе сделки в телеграм бота </v>
      </c>
      <c r="B110" s="247" t="str">
        <f>'Оценка'!D113</f>
        <v>при получении сообщений, при других сменах статуса, в бота куда подключится тейкер/мейкер придут сообщения. подключение опционально. авторизация через телегу тоже</v>
      </c>
      <c r="C110" s="249">
        <f t="shared" si="1"/>
        <v>0</v>
      </c>
      <c r="D110" s="249">
        <f t="shared" si="2"/>
        <v>0</v>
      </c>
      <c r="E110" s="249">
        <f t="shared" si="3"/>
        <v>1</v>
      </c>
      <c r="F110" s="158">
        <f t="shared" si="4"/>
        <v>1</v>
      </c>
      <c r="G110" s="250" t="str">
        <f>IF(A110&lt;&gt;"", 'Sales (Итоги оценки)'!$C$4, "")</f>
        <v>P2P платформа</v>
      </c>
      <c r="H110" s="249">
        <f t="shared" si="5"/>
        <v>1</v>
      </c>
      <c r="I110" s="251">
        <f>IF(OR(ISBLANK('Оценка'!F109), ISBLANK('Оценка'!G109)), "", 
(AVERAGE(
  (
    ('Оценка'!F109 + 4*AVERAGE('Оценка'!F109:G109) + 'Оценка'!G109)/6 - 
    2*(('Оценка'!G109 - 'Оценка'!F109)/6)
  )/5 , 
  (
    ('Оценка'!F109 + 4*AVERAGE('Оценка'!F109:G109) + 'Оценка'!G109)/6 + 
    2*(('Оценка'!G109 - 'Оценка'!F109)/6)
  )/5
) * 
(
  (
    ('PM (Расчеты)'!$C$22/8 + 'PM (Расчеты)'!$C$23/40) + 
    'PM (Расчеты)'!$C$21/100 + 'PM (Расчеты)'!$C$25/100 + 
    'PM (Расчеты)'!$C$26/100
  ) + 1
)))
 * 8 * 60 * 60
</f>
        <v>138240</v>
      </c>
      <c r="J110" s="252" t="str">
        <f>'Оценка'!B113</f>
        <v>Backend</v>
      </c>
      <c r="K110" s="253">
        <f t="shared" si="6"/>
        <v>46121</v>
      </c>
      <c r="L110" s="253">
        <f t="shared" si="7"/>
        <v>46159.4</v>
      </c>
    </row>
    <row r="111">
      <c r="A111" s="247" t="str">
        <f>'Оценка'!C114</f>
        <v/>
      </c>
      <c r="B111" s="247" t="str">
        <f>'Оценка'!D114</f>
        <v/>
      </c>
      <c r="C111" s="249" t="str">
        <f t="shared" si="1"/>
        <v/>
      </c>
      <c r="D111" s="249" t="str">
        <f t="shared" si="2"/>
        <v/>
      </c>
      <c r="E111" s="249" t="str">
        <f t="shared" si="3"/>
        <v/>
      </c>
      <c r="F111" s="158" t="str">
        <f t="shared" si="4"/>
        <v/>
      </c>
      <c r="G111" s="247" t="str">
        <f>IF(A111&lt;&gt;"", 'Sales (Итоги оценки)'!$C$4, "")</f>
        <v/>
      </c>
      <c r="H111" s="249" t="str">
        <f t="shared" si="5"/>
        <v/>
      </c>
      <c r="I111" s="251">
        <f>IF(OR(ISBLANK('Оценка'!F110), ISBLANK('Оценка'!G110)), "", 
(AVERAGE(
  (
    ('Оценка'!F110 + 4*AVERAGE('Оценка'!F110:G110) + 'Оценка'!G110)/6 - 
    2*(('Оценка'!G110 - 'Оценка'!F110)/6)
  )/5 , 
  (
    ('Оценка'!F110 + 4*AVERAGE('Оценка'!F110:G110) + 'Оценка'!G110)/6 + 
    2*(('Оценка'!G110 - 'Оценка'!F110)/6)
  )/5
) * 
(
  (
    ('PM (Расчеты)'!$C$22/8 + 'PM (Расчеты)'!$C$23/40) + 
    'PM (Расчеты)'!$C$21/100 + 'PM (Расчеты)'!$C$25/100 + 
    'PM (Расчеты)'!$C$26/100
  ) + 1
)))
 * 8 * 60 * 60
</f>
        <v>0</v>
      </c>
      <c r="J111" s="252" t="str">
        <f>'Оценка'!B114</f>
        <v/>
      </c>
      <c r="K111" s="253" t="str">
        <f t="shared" si="6"/>
        <v/>
      </c>
      <c r="L111" s="253" t="str">
        <f t="shared" si="7"/>
        <v/>
      </c>
    </row>
    <row r="112">
      <c r="A112" s="247" t="str">
        <f>'Оценка'!C115</f>
        <v/>
      </c>
      <c r="B112" s="247" t="str">
        <f>'Оценка'!D115</f>
        <v/>
      </c>
      <c r="C112" s="249" t="str">
        <f t="shared" si="1"/>
        <v/>
      </c>
      <c r="D112" s="249" t="str">
        <f t="shared" si="2"/>
        <v/>
      </c>
      <c r="E112" s="249" t="str">
        <f t="shared" si="3"/>
        <v/>
      </c>
      <c r="F112" s="158" t="str">
        <f t="shared" si="4"/>
        <v/>
      </c>
      <c r="G112" s="247" t="str">
        <f>IF(A112&lt;&gt;"", 'Sales (Итоги оценки)'!$C$4, "")</f>
        <v/>
      </c>
      <c r="H112" s="249" t="str">
        <f t="shared" si="5"/>
        <v/>
      </c>
      <c r="I112" s="251">
        <f>IF(OR(ISBLANK('Оценка'!F111), ISBLANK('Оценка'!G111)), "", 
(AVERAGE(
  (
    ('Оценка'!F111 + 4*AVERAGE('Оценка'!F111:G111) + 'Оценка'!G111)/6 - 
    2*(('Оценка'!G111 - 'Оценка'!F111)/6)
  )/5 , 
  (
    ('Оценка'!F111 + 4*AVERAGE('Оценка'!F111:G111) + 'Оценка'!G111)/6 + 
    2*(('Оценка'!G111 - 'Оценка'!F111)/6)
  )/5
) * 
(
  (
    ('PM (Расчеты)'!$C$22/8 + 'PM (Расчеты)'!$C$23/40) + 
    'PM (Расчеты)'!$C$21/100 + 'PM (Расчеты)'!$C$25/100 + 
    'PM (Расчеты)'!$C$26/100
  ) + 1
)))
 * 8 * 60 * 60
</f>
        <v>0</v>
      </c>
      <c r="J112" s="252" t="str">
        <f>'Оценка'!B115</f>
        <v/>
      </c>
      <c r="K112" s="253" t="str">
        <f t="shared" si="6"/>
        <v/>
      </c>
      <c r="L112" s="253" t="str">
        <f t="shared" si="7"/>
        <v/>
      </c>
    </row>
    <row r="113">
      <c r="A113" s="247" t="str">
        <f>'Оценка'!C116</f>
        <v/>
      </c>
      <c r="B113" s="247" t="str">
        <f>'Оценка'!D116</f>
        <v/>
      </c>
      <c r="C113" s="249" t="str">
        <f t="shared" si="1"/>
        <v/>
      </c>
      <c r="D113" s="249" t="str">
        <f t="shared" si="2"/>
        <v/>
      </c>
      <c r="E113" s="249" t="str">
        <f t="shared" si="3"/>
        <v/>
      </c>
      <c r="F113" s="158" t="str">
        <f t="shared" si="4"/>
        <v/>
      </c>
      <c r="G113" s="247" t="str">
        <f>IF(A113&lt;&gt;"", 'Sales (Итоги оценки)'!$C$4, "")</f>
        <v/>
      </c>
      <c r="H113" s="249" t="str">
        <f t="shared" si="5"/>
        <v/>
      </c>
      <c r="I113" s="251">
        <f>IF(OR(ISBLANK('Оценка'!F112), ISBLANK('Оценка'!G112)), "", 
(AVERAGE(
  (
    ('Оценка'!F112 + 4*AVERAGE('Оценка'!F112:G112) + 'Оценка'!G112)/6 - 
    2*(('Оценка'!G112 - 'Оценка'!F112)/6)
  )/5 , 
  (
    ('Оценка'!F112 + 4*AVERAGE('Оценка'!F112:G112) + 'Оценка'!G112)/6 + 
    2*(('Оценка'!G112 - 'Оценка'!F112)/6)
  )/5
) * 
(
  (
    ('PM (Расчеты)'!$C$22/8 + 'PM (Расчеты)'!$C$23/40) + 
    'PM (Расчеты)'!$C$21/100 + 'PM (Расчеты)'!$C$25/100 + 
    'PM (Расчеты)'!$C$26/100
  ) + 1
)))
 * 8 * 60 * 60
</f>
        <v>6912</v>
      </c>
      <c r="J113" s="252" t="str">
        <f>'Оценка'!B116</f>
        <v/>
      </c>
      <c r="K113" s="253" t="str">
        <f t="shared" si="6"/>
        <v/>
      </c>
      <c r="L113" s="253" t="str">
        <f t="shared" si="7"/>
        <v/>
      </c>
    </row>
    <row r="114">
      <c r="A114" s="247" t="str">
        <f>'Оценка'!C117</f>
        <v/>
      </c>
      <c r="B114" s="247" t="str">
        <f>'Оценка'!D117</f>
        <v/>
      </c>
      <c r="C114" s="249" t="str">
        <f t="shared" si="1"/>
        <v/>
      </c>
      <c r="D114" s="249" t="str">
        <f t="shared" si="2"/>
        <v/>
      </c>
      <c r="E114" s="249" t="str">
        <f t="shared" si="3"/>
        <v/>
      </c>
      <c r="F114" s="158" t="str">
        <f t="shared" si="4"/>
        <v/>
      </c>
      <c r="G114" s="247" t="str">
        <f>IF(A114&lt;&gt;"", 'Sales (Итоги оценки)'!$C$4, "")</f>
        <v/>
      </c>
      <c r="H114" s="249" t="str">
        <f t="shared" si="5"/>
        <v/>
      </c>
      <c r="I114" s="251">
        <f>IF(OR(ISBLANK('Оценка'!F113), ISBLANK('Оценка'!G113)), "", 
(AVERAGE(
  (
    ('Оценка'!F113 + 4*AVERAGE('Оценка'!F113:G113) + 'Оценка'!G113)/6 - 
    2*(('Оценка'!G113 - 'Оценка'!F113)/6)
  )/5 , 
  (
    ('Оценка'!F113 + 4*AVERAGE('Оценка'!F113:G113) + 'Оценка'!G113)/6 + 
    2*(('Оценка'!G113 - 'Оценка'!F113)/6)
  )/5
) * 
(
  (
    ('PM (Расчеты)'!$C$22/8 + 'PM (Расчеты)'!$C$23/40) + 
    'PM (Расчеты)'!$C$21/100 + 'PM (Расчеты)'!$C$25/100 + 
    'PM (Расчеты)'!$C$26/100
  ) + 1
)))
 * 8 * 60 * 60
</f>
        <v>13824</v>
      </c>
      <c r="J114" s="252" t="str">
        <f>'Оценка'!B117</f>
        <v/>
      </c>
      <c r="K114" s="253" t="str">
        <f t="shared" si="6"/>
        <v/>
      </c>
      <c r="L114" s="253" t="str">
        <f t="shared" si="7"/>
        <v/>
      </c>
    </row>
    <row r="115">
      <c r="A115" s="247" t="str">
        <f>'Оценка'!C118</f>
        <v/>
      </c>
      <c r="B115" s="247" t="str">
        <f>'Оценка'!D118</f>
        <v/>
      </c>
      <c r="C115" s="249" t="str">
        <f t="shared" si="1"/>
        <v/>
      </c>
      <c r="D115" s="249" t="str">
        <f t="shared" si="2"/>
        <v/>
      </c>
      <c r="E115" s="249" t="str">
        <f t="shared" si="3"/>
        <v/>
      </c>
      <c r="F115" s="158" t="str">
        <f t="shared" si="4"/>
        <v/>
      </c>
      <c r="G115" s="247" t="str">
        <f>IF(A115&lt;&gt;"", 'Sales (Итоги оценки)'!$C$4, "")</f>
        <v/>
      </c>
      <c r="H115" s="249" t="str">
        <f t="shared" si="5"/>
        <v/>
      </c>
      <c r="I115" s="251">
        <f>IF(OR(ISBLANK('Оценка'!F114), ISBLANK('Оценка'!G114)), "", 
(AVERAGE(
  (
    ('Оценка'!F114 + 4*AVERAGE('Оценка'!F114:G114) + 'Оценка'!G114)/6 - 
    2*(('Оценка'!G114 - 'Оценка'!F114)/6)
  )/5 , 
  (
    ('Оценка'!F114 + 4*AVERAGE('Оценка'!F114:G114) + 'Оценка'!G114)/6 + 
    2*(('Оценка'!G114 - 'Оценка'!F114)/6)
  )/5
) * 
(
  (
    ('PM (Расчеты)'!$C$22/8 + 'PM (Расчеты)'!$C$23/40) + 
    'PM (Расчеты)'!$C$21/100 + 'PM (Расчеты)'!$C$25/100 + 
    'PM (Расчеты)'!$C$26/100
  ) + 1
)))
 * 8 * 60 * 60
</f>
        <v>0</v>
      </c>
      <c r="J115" s="252" t="str">
        <f>'Оценка'!B118</f>
        <v/>
      </c>
      <c r="K115" s="253" t="str">
        <f t="shared" si="6"/>
        <v/>
      </c>
      <c r="L115" s="253" t="str">
        <f t="shared" si="7"/>
        <v/>
      </c>
    </row>
    <row r="116">
      <c r="A116" s="247" t="str">
        <f>'Оценка'!C119</f>
        <v/>
      </c>
      <c r="B116" s="247" t="str">
        <f>'Оценка'!D119</f>
        <v/>
      </c>
      <c r="C116" s="249" t="str">
        <f t="shared" si="1"/>
        <v/>
      </c>
      <c r="D116" s="249" t="str">
        <f t="shared" si="2"/>
        <v/>
      </c>
      <c r="E116" s="249" t="str">
        <f t="shared" si="3"/>
        <v/>
      </c>
      <c r="F116" s="158" t="str">
        <f t="shared" si="4"/>
        <v/>
      </c>
      <c r="G116" s="247" t="str">
        <f>IF(A116&lt;&gt;"", 'Sales (Итоги оценки)'!$C$4, "")</f>
        <v/>
      </c>
      <c r="H116" s="249" t="str">
        <f t="shared" si="5"/>
        <v/>
      </c>
      <c r="I116" s="251">
        <f>IF(OR(ISBLANK('Оценка'!F115), ISBLANK('Оценка'!G115)), "", 
(AVERAGE(
  (
    ('Оценка'!F115 + 4*AVERAGE('Оценка'!F115:G115) + 'Оценка'!G115)/6 - 
    2*(('Оценка'!G115 - 'Оценка'!F115)/6)
  )/5 , 
  (
    ('Оценка'!F115 + 4*AVERAGE('Оценка'!F115:G115) + 'Оценка'!G115)/6 + 
    2*(('Оценка'!G115 - 'Оценка'!F115)/6)
  )/5
) * 
(
  (
    ('PM (Расчеты)'!$C$22/8 + 'PM (Расчеты)'!$C$23/40) + 
    'PM (Расчеты)'!$C$21/100 + 'PM (Расчеты)'!$C$25/100 + 
    'PM (Расчеты)'!$C$26/100
  ) + 1
)))
 * 8 * 60 * 60
</f>
        <v>0</v>
      </c>
      <c r="J116" s="252" t="str">
        <f>'Оценка'!B119</f>
        <v/>
      </c>
      <c r="K116" s="253" t="str">
        <f t="shared" si="6"/>
        <v/>
      </c>
      <c r="L116" s="253" t="str">
        <f t="shared" si="7"/>
        <v/>
      </c>
    </row>
    <row r="117">
      <c r="A117" s="247" t="str">
        <f>'Оценка'!C120</f>
        <v/>
      </c>
      <c r="B117" s="247" t="str">
        <f>'Оценка'!D120</f>
        <v/>
      </c>
      <c r="C117" s="249" t="str">
        <f t="shared" si="1"/>
        <v/>
      </c>
      <c r="D117" s="249" t="str">
        <f t="shared" si="2"/>
        <v/>
      </c>
      <c r="E117" s="249" t="str">
        <f t="shared" si="3"/>
        <v/>
      </c>
      <c r="F117" s="158" t="str">
        <f t="shared" si="4"/>
        <v/>
      </c>
      <c r="G117" s="247" t="str">
        <f>IF(A117&lt;&gt;"", 'Sales (Итоги оценки)'!$C$4, "")</f>
        <v/>
      </c>
      <c r="H117" s="249" t="str">
        <f t="shared" si="5"/>
        <v/>
      </c>
      <c r="I117" s="251">
        <f>IF(OR(ISBLANK('Оценка'!F116), ISBLANK('Оценка'!G116)), "", 
(AVERAGE(
  (
    ('Оценка'!F116 + 4*AVERAGE('Оценка'!F116:G116) + 'Оценка'!G116)/6 - 
    2*(('Оценка'!G116 - 'Оценка'!F116)/6)
  )/5 , 
  (
    ('Оценка'!F116 + 4*AVERAGE('Оценка'!F116:G116) + 'Оценка'!G116)/6 + 
    2*(('Оценка'!G116 - 'Оценка'!F116)/6)
  )/5
) * 
(
  (
    ('PM (Расчеты)'!$C$22/8 + 'PM (Расчеты)'!$C$23/40) + 
    'PM (Расчеты)'!$C$21/100 + 'PM (Расчеты)'!$C$25/100 + 
    'PM (Расчеты)'!$C$26/100
  ) + 1
)))
 * 8 * 60 * 60
</f>
        <v>0</v>
      </c>
      <c r="J117" s="252" t="str">
        <f>'Оценка'!B120</f>
        <v/>
      </c>
      <c r="K117" s="253" t="str">
        <f t="shared" si="6"/>
        <v/>
      </c>
      <c r="L117" s="253" t="str">
        <f t="shared" si="7"/>
        <v/>
      </c>
    </row>
    <row r="118">
      <c r="A118" s="247" t="str">
        <f>'Оценка'!C121</f>
        <v/>
      </c>
      <c r="B118" s="247" t="str">
        <f>'Оценка'!D121</f>
        <v/>
      </c>
      <c r="C118" s="249" t="str">
        <f t="shared" si="1"/>
        <v/>
      </c>
      <c r="D118" s="249" t="str">
        <f t="shared" si="2"/>
        <v/>
      </c>
      <c r="E118" s="249" t="str">
        <f t="shared" si="3"/>
        <v/>
      </c>
      <c r="F118" s="158" t="str">
        <f t="shared" si="4"/>
        <v/>
      </c>
      <c r="G118" s="247" t="str">
        <f>IF(A118&lt;&gt;"", 'Sales (Итоги оценки)'!$C$4, "")</f>
        <v/>
      </c>
      <c r="H118" s="249" t="str">
        <f t="shared" si="5"/>
        <v/>
      </c>
      <c r="I118" s="251">
        <f>IF(OR(ISBLANK('Оценка'!F117), ISBLANK('Оценка'!G117)), "", 
(AVERAGE(
  (
    ('Оценка'!F117 + 4*AVERAGE('Оценка'!F117:G117) + 'Оценка'!G117)/6 - 
    2*(('Оценка'!G117 - 'Оценка'!F117)/6)
  )/5 , 
  (
    ('Оценка'!F117 + 4*AVERAGE('Оценка'!F117:G117) + 'Оценка'!G117)/6 + 
    2*(('Оценка'!G117 - 'Оценка'!F117)/6)
  )/5
) * 
(
  (
    ('PM (Расчеты)'!$C$22/8 + 'PM (Расчеты)'!$C$23/40) + 
    'PM (Расчеты)'!$C$21/100 + 'PM (Расчеты)'!$C$25/100 + 
    'PM (Расчеты)'!$C$26/100
  ) + 1
)))
 * 8 * 60 * 60
</f>
        <v>0</v>
      </c>
      <c r="J118" s="252" t="str">
        <f>'Оценка'!B121</f>
        <v/>
      </c>
      <c r="K118" s="253" t="str">
        <f t="shared" si="6"/>
        <v/>
      </c>
      <c r="L118" s="253" t="str">
        <f t="shared" si="7"/>
        <v/>
      </c>
    </row>
    <row r="119">
      <c r="A119" s="247" t="str">
        <f>'Оценка'!C122</f>
        <v/>
      </c>
      <c r="B119" s="247" t="str">
        <f>'Оценка'!D122</f>
        <v/>
      </c>
      <c r="C119" s="249" t="str">
        <f t="shared" si="1"/>
        <v/>
      </c>
      <c r="D119" s="249" t="str">
        <f t="shared" si="2"/>
        <v/>
      </c>
      <c r="E119" s="249" t="str">
        <f t="shared" si="3"/>
        <v/>
      </c>
      <c r="F119" s="158" t="str">
        <f t="shared" si="4"/>
        <v/>
      </c>
      <c r="G119" s="247" t="str">
        <f>IF(A119&lt;&gt;"", 'Sales (Итоги оценки)'!$C$4, "")</f>
        <v/>
      </c>
      <c r="H119" s="249" t="str">
        <f t="shared" si="5"/>
        <v/>
      </c>
      <c r="I119" s="251">
        <f>IF(OR(ISBLANK('Оценка'!F118), ISBLANK('Оценка'!G118)), "", 
(AVERAGE(
  (
    ('Оценка'!F118 + 4*AVERAGE('Оценка'!F118:G118) + 'Оценка'!G118)/6 - 
    2*(('Оценка'!G118 - 'Оценка'!F118)/6)
  )/5 , 
  (
    ('Оценка'!F118 + 4*AVERAGE('Оценка'!F118:G118) + 'Оценка'!G118)/6 + 
    2*(('Оценка'!G118 - 'Оценка'!F118)/6)
  )/5
) * 
(
  (
    ('PM (Расчеты)'!$C$22/8 + 'PM (Расчеты)'!$C$23/40) + 
    'PM (Расчеты)'!$C$21/100 + 'PM (Расчеты)'!$C$25/100 + 
    'PM (Расчеты)'!$C$26/100
  ) + 1
)))
 * 8 * 60 * 60
</f>
        <v>0</v>
      </c>
      <c r="J119" s="252" t="str">
        <f>'Оценка'!B122</f>
        <v/>
      </c>
      <c r="K119" s="253" t="str">
        <f t="shared" si="6"/>
        <v/>
      </c>
      <c r="L119" s="253" t="str">
        <f t="shared" si="7"/>
        <v/>
      </c>
    </row>
    <row r="120">
      <c r="A120" s="247" t="str">
        <f>'Оценка'!C123</f>
        <v/>
      </c>
      <c r="B120" s="247" t="str">
        <f>'Оценка'!D123</f>
        <v/>
      </c>
      <c r="C120" s="249" t="str">
        <f t="shared" si="1"/>
        <v/>
      </c>
      <c r="D120" s="249" t="str">
        <f t="shared" si="2"/>
        <v/>
      </c>
      <c r="E120" s="249" t="str">
        <f t="shared" si="3"/>
        <v/>
      </c>
      <c r="F120" s="158" t="str">
        <f t="shared" si="4"/>
        <v/>
      </c>
      <c r="G120" s="247" t="str">
        <f>IF(A120&lt;&gt;"", 'Sales (Итоги оценки)'!$C$4, "")</f>
        <v/>
      </c>
      <c r="H120" s="249" t="str">
        <f t="shared" si="5"/>
        <v/>
      </c>
      <c r="I120" s="251">
        <f>IF(OR(ISBLANK('Оценка'!F119), ISBLANK('Оценка'!G119)), "", 
(AVERAGE(
  (
    ('Оценка'!F119 + 4*AVERAGE('Оценка'!F119:G119) + 'Оценка'!G119)/6 - 
    2*(('Оценка'!G119 - 'Оценка'!F119)/6)
  )/5 , 
  (
    ('Оценка'!F119 + 4*AVERAGE('Оценка'!F119:G119) + 'Оценка'!G119)/6 + 
    2*(('Оценка'!G119 - 'Оценка'!F119)/6)
  )/5
) * 
(
  (
    ('PM (Расчеты)'!$C$22/8 + 'PM (Расчеты)'!$C$23/40) + 
    'PM (Расчеты)'!$C$21/100 + 'PM (Расчеты)'!$C$25/100 + 
    'PM (Расчеты)'!$C$26/100
  ) + 1
)))
 * 8 * 60 * 60
</f>
        <v>0</v>
      </c>
      <c r="J120" s="252" t="str">
        <f>'Оценка'!B123</f>
        <v/>
      </c>
      <c r="K120" s="253" t="str">
        <f t="shared" si="6"/>
        <v/>
      </c>
      <c r="L120" s="253" t="str">
        <f t="shared" si="7"/>
        <v/>
      </c>
    </row>
    <row r="121">
      <c r="A121" s="247" t="str">
        <f>'Оценка'!C124</f>
        <v/>
      </c>
      <c r="B121" s="247" t="str">
        <f>'Оценка'!D124</f>
        <v/>
      </c>
      <c r="C121" s="249" t="str">
        <f t="shared" si="1"/>
        <v/>
      </c>
      <c r="D121" s="249" t="str">
        <f t="shared" si="2"/>
        <v/>
      </c>
      <c r="E121" s="249" t="str">
        <f t="shared" si="3"/>
        <v/>
      </c>
      <c r="F121" s="158" t="str">
        <f t="shared" si="4"/>
        <v/>
      </c>
      <c r="G121" s="247" t="str">
        <f>IF(A121&lt;&gt;"", 'Sales (Итоги оценки)'!$C$4, "")</f>
        <v/>
      </c>
      <c r="H121" s="249" t="str">
        <f t="shared" si="5"/>
        <v/>
      </c>
      <c r="I121" s="251">
        <f>IF(OR(ISBLANK('Оценка'!F120), ISBLANK('Оценка'!G120)), "", 
(AVERAGE(
  (
    ('Оценка'!F120 + 4*AVERAGE('Оценка'!F120:G120) + 'Оценка'!G120)/6 - 
    2*(('Оценка'!G120 - 'Оценка'!F120)/6)
  )/5 , 
  (
    ('Оценка'!F120 + 4*AVERAGE('Оценка'!F120:G120) + 'Оценка'!G120)/6 + 
    2*(('Оценка'!G120 - 'Оценка'!F120)/6)
  )/5
) * 
(
  (
    ('PM (Расчеты)'!$C$22/8 + 'PM (Расчеты)'!$C$23/40) + 
    'PM (Расчеты)'!$C$21/100 + 'PM (Расчеты)'!$C$25/100 + 
    'PM (Расчеты)'!$C$26/100
  ) + 1
)))
 * 8 * 60 * 60
</f>
        <v>0</v>
      </c>
      <c r="J121" s="252" t="str">
        <f>'Оценка'!B124</f>
        <v/>
      </c>
      <c r="K121" s="253" t="str">
        <f t="shared" si="6"/>
        <v/>
      </c>
      <c r="L121" s="253" t="str">
        <f t="shared" si="7"/>
        <v/>
      </c>
    </row>
    <row r="122">
      <c r="A122" s="247" t="str">
        <f>'Оценка'!C125</f>
        <v/>
      </c>
      <c r="B122" s="247" t="str">
        <f>'Оценка'!D125</f>
        <v/>
      </c>
      <c r="C122" s="249" t="str">
        <f t="shared" si="1"/>
        <v/>
      </c>
      <c r="D122" s="249" t="str">
        <f t="shared" si="2"/>
        <v/>
      </c>
      <c r="E122" s="249" t="str">
        <f t="shared" si="3"/>
        <v/>
      </c>
      <c r="F122" s="158" t="str">
        <f t="shared" si="4"/>
        <v/>
      </c>
      <c r="G122" s="247" t="str">
        <f>IF(A122&lt;&gt;"", 'Sales (Итоги оценки)'!$C$4, "")</f>
        <v/>
      </c>
      <c r="H122" s="249" t="str">
        <f t="shared" si="5"/>
        <v/>
      </c>
      <c r="I122" s="251">
        <f>IF(OR(ISBLANK('Оценка'!F121), ISBLANK('Оценка'!G121)), "", 
(AVERAGE(
  (
    ('Оценка'!F121 + 4*AVERAGE('Оценка'!F121:G121) + 'Оценка'!G121)/6 - 
    2*(('Оценка'!G121 - 'Оценка'!F121)/6)
  )/5 , 
  (
    ('Оценка'!F121 + 4*AVERAGE('Оценка'!F121:G121) + 'Оценка'!G121)/6 + 
    2*(('Оценка'!G121 - 'Оценка'!F121)/6)
  )/5
) * 
(
  (
    ('PM (Расчеты)'!$C$22/8 + 'PM (Расчеты)'!$C$23/40) + 
    'PM (Расчеты)'!$C$21/100 + 'PM (Расчеты)'!$C$25/100 + 
    'PM (Расчеты)'!$C$26/100
  ) + 1
)))
 * 8 * 60 * 60
</f>
        <v>0</v>
      </c>
      <c r="J122" s="252" t="str">
        <f>'Оценка'!B125</f>
        <v/>
      </c>
      <c r="K122" s="253" t="str">
        <f t="shared" si="6"/>
        <v/>
      </c>
      <c r="L122" s="253" t="str">
        <f t="shared" si="7"/>
        <v/>
      </c>
    </row>
    <row r="123">
      <c r="A123" s="247" t="str">
        <f>'Оценка'!C126</f>
        <v/>
      </c>
      <c r="B123" s="247" t="str">
        <f>'Оценка'!D126</f>
        <v/>
      </c>
      <c r="C123" s="249" t="str">
        <f t="shared" si="1"/>
        <v/>
      </c>
      <c r="D123" s="249" t="str">
        <f t="shared" si="2"/>
        <v/>
      </c>
      <c r="E123" s="249" t="str">
        <f t="shared" si="3"/>
        <v/>
      </c>
      <c r="F123" s="158" t="str">
        <f t="shared" si="4"/>
        <v/>
      </c>
      <c r="G123" s="247" t="str">
        <f>IF(A123&lt;&gt;"", 'Sales (Итоги оценки)'!$C$4, "")</f>
        <v/>
      </c>
      <c r="H123" s="249" t="str">
        <f t="shared" si="5"/>
        <v/>
      </c>
      <c r="I123" s="251">
        <f>IF(OR(ISBLANK('Оценка'!F122), ISBLANK('Оценка'!G122)), "", 
(AVERAGE(
  (
    ('Оценка'!F122 + 4*AVERAGE('Оценка'!F122:G122) + 'Оценка'!G122)/6 - 
    2*(('Оценка'!G122 - 'Оценка'!F122)/6)
  )/5 , 
  (
    ('Оценка'!F122 + 4*AVERAGE('Оценка'!F122:G122) + 'Оценка'!G122)/6 + 
    2*(('Оценка'!G122 - 'Оценка'!F122)/6)
  )/5
) * 
(
  (
    ('PM (Расчеты)'!$C$22/8 + 'PM (Расчеты)'!$C$23/40) + 
    'PM (Расчеты)'!$C$21/100 + 'PM (Расчеты)'!$C$25/100 + 
    'PM (Расчеты)'!$C$26/100
  ) + 1
)))
 * 8 * 60 * 60
</f>
        <v>0</v>
      </c>
      <c r="J123" s="252" t="str">
        <f>'Оценка'!B126</f>
        <v/>
      </c>
      <c r="K123" s="253" t="str">
        <f t="shared" si="6"/>
        <v/>
      </c>
      <c r="L123" s="253" t="str">
        <f t="shared" si="7"/>
        <v/>
      </c>
    </row>
    <row r="124">
      <c r="A124" s="247" t="str">
        <f>'Оценка'!C127</f>
        <v/>
      </c>
      <c r="B124" s="247" t="str">
        <f>'Оценка'!D127</f>
        <v/>
      </c>
      <c r="C124" s="249" t="str">
        <f t="shared" si="1"/>
        <v/>
      </c>
      <c r="D124" s="249" t="str">
        <f t="shared" si="2"/>
        <v/>
      </c>
      <c r="E124" s="249" t="str">
        <f t="shared" si="3"/>
        <v/>
      </c>
      <c r="F124" s="158" t="str">
        <f t="shared" si="4"/>
        <v/>
      </c>
      <c r="G124" s="247" t="str">
        <f>IF(A124&lt;&gt;"", 'Sales (Итоги оценки)'!$C$4, "")</f>
        <v/>
      </c>
      <c r="H124" s="249" t="str">
        <f t="shared" si="5"/>
        <v/>
      </c>
      <c r="I124" s="251">
        <f>IF(OR(ISBLANK('Оценка'!F123), ISBLANK('Оценка'!G123)), "", 
(AVERAGE(
  (
    ('Оценка'!F123 + 4*AVERAGE('Оценка'!F123:G123) + 'Оценка'!G123)/6 - 
    2*(('Оценка'!G123 - 'Оценка'!F123)/6)
  )/5 , 
  (
    ('Оценка'!F123 + 4*AVERAGE('Оценка'!F123:G123) + 'Оценка'!G123)/6 + 
    2*(('Оценка'!G123 - 'Оценка'!F123)/6)
  )/5
) * 
(
  (
    ('PM (Расчеты)'!$C$22/8 + 'PM (Расчеты)'!$C$23/40) + 
    'PM (Расчеты)'!$C$21/100 + 'PM (Расчеты)'!$C$25/100 + 
    'PM (Расчеты)'!$C$26/100
  ) + 1
)))
 * 8 * 60 * 60
</f>
        <v>0</v>
      </c>
      <c r="J124" s="252" t="str">
        <f>'Оценка'!B127</f>
        <v/>
      </c>
      <c r="K124" s="253" t="str">
        <f t="shared" si="6"/>
        <v/>
      </c>
      <c r="L124" s="253" t="str">
        <f t="shared" si="7"/>
        <v/>
      </c>
    </row>
    <row r="125">
      <c r="A125" s="247" t="str">
        <f>'Оценка'!C128</f>
        <v/>
      </c>
      <c r="B125" s="247" t="str">
        <f>'Оценка'!D128</f>
        <v/>
      </c>
      <c r="C125" s="249" t="str">
        <f t="shared" si="1"/>
        <v/>
      </c>
      <c r="D125" s="249" t="str">
        <f t="shared" si="2"/>
        <v/>
      </c>
      <c r="E125" s="249" t="str">
        <f t="shared" si="3"/>
        <v/>
      </c>
      <c r="F125" s="158" t="str">
        <f t="shared" si="4"/>
        <v/>
      </c>
      <c r="G125" s="247" t="str">
        <f>IF(A125&lt;&gt;"", 'Sales (Итоги оценки)'!$C$4, "")</f>
        <v/>
      </c>
      <c r="H125" s="249" t="str">
        <f t="shared" si="5"/>
        <v/>
      </c>
      <c r="I125" s="251">
        <f>IF(OR(ISBLANK('Оценка'!F124), ISBLANK('Оценка'!G124)), "", 
(AVERAGE(
  (
    ('Оценка'!F124 + 4*AVERAGE('Оценка'!F124:G124) + 'Оценка'!G124)/6 - 
    2*(('Оценка'!G124 - 'Оценка'!F124)/6)
  )/5 , 
  (
    ('Оценка'!F124 + 4*AVERAGE('Оценка'!F124:G124) + 'Оценка'!G124)/6 + 
    2*(('Оценка'!G124 - 'Оценка'!F124)/6)
  )/5
) * 
(
  (
    ('PM (Расчеты)'!$C$22/8 + 'PM (Расчеты)'!$C$23/40) + 
    'PM (Расчеты)'!$C$21/100 + 'PM (Расчеты)'!$C$25/100 + 
    'PM (Расчеты)'!$C$26/100
  ) + 1
)))
 * 8 * 60 * 60
</f>
        <v>0</v>
      </c>
      <c r="J125" s="252" t="str">
        <f>'Оценка'!B128</f>
        <v/>
      </c>
      <c r="K125" s="253" t="str">
        <f t="shared" si="6"/>
        <v/>
      </c>
      <c r="L125" s="253" t="str">
        <f t="shared" si="7"/>
        <v/>
      </c>
    </row>
    <row r="126">
      <c r="A126" s="247" t="str">
        <f>'Оценка'!C129</f>
        <v/>
      </c>
      <c r="B126" s="247" t="str">
        <f>'Оценка'!D129</f>
        <v/>
      </c>
      <c r="C126" s="249" t="str">
        <f t="shared" si="1"/>
        <v/>
      </c>
      <c r="D126" s="249" t="str">
        <f t="shared" si="2"/>
        <v/>
      </c>
      <c r="E126" s="249" t="str">
        <f t="shared" si="3"/>
        <v/>
      </c>
      <c r="F126" s="158" t="str">
        <f t="shared" si="4"/>
        <v/>
      </c>
      <c r="G126" s="247" t="str">
        <f>IF(A126&lt;&gt;"", 'Sales (Итоги оценки)'!$C$4, "")</f>
        <v/>
      </c>
      <c r="H126" s="249" t="str">
        <f t="shared" si="5"/>
        <v/>
      </c>
      <c r="I126" s="251">
        <f>IF(OR(ISBLANK('Оценка'!F125), ISBLANK('Оценка'!G125)), "", 
(AVERAGE(
  (
    ('Оценка'!F125 + 4*AVERAGE('Оценка'!F125:G125) + 'Оценка'!G125)/6 - 
    2*(('Оценка'!G125 - 'Оценка'!F125)/6)
  )/5 , 
  (
    ('Оценка'!F125 + 4*AVERAGE('Оценка'!F125:G125) + 'Оценка'!G125)/6 + 
    2*(('Оценка'!G125 - 'Оценка'!F125)/6)
  )/5
) * 
(
  (
    ('PM (Расчеты)'!$C$22/8 + 'PM (Расчеты)'!$C$23/40) + 
    'PM (Расчеты)'!$C$21/100 + 'PM (Расчеты)'!$C$25/100 + 
    'PM (Расчеты)'!$C$26/100
  ) + 1
)))
 * 8 * 60 * 60
</f>
        <v>0</v>
      </c>
      <c r="J126" s="252" t="str">
        <f>'Оценка'!B129</f>
        <v/>
      </c>
      <c r="K126" s="253" t="str">
        <f t="shared" si="6"/>
        <v/>
      </c>
      <c r="L126" s="253" t="str">
        <f t="shared" si="7"/>
        <v/>
      </c>
    </row>
    <row r="127">
      <c r="A127" s="247" t="str">
        <f>'Оценка'!C130</f>
        <v/>
      </c>
      <c r="B127" s="247" t="str">
        <f>'Оценка'!D130</f>
        <v/>
      </c>
      <c r="C127" s="249" t="str">
        <f t="shared" si="1"/>
        <v/>
      </c>
      <c r="D127" s="249" t="str">
        <f t="shared" si="2"/>
        <v/>
      </c>
      <c r="E127" s="249" t="str">
        <f t="shared" si="3"/>
        <v/>
      </c>
      <c r="F127" s="158" t="str">
        <f t="shared" si="4"/>
        <v/>
      </c>
      <c r="G127" s="247" t="str">
        <f>IF(A127&lt;&gt;"", 'Sales (Итоги оценки)'!$C$4, "")</f>
        <v/>
      </c>
      <c r="H127" s="249" t="str">
        <f t="shared" si="5"/>
        <v/>
      </c>
      <c r="I127" s="251">
        <f>IF(OR(ISBLANK('Оценка'!F126), ISBLANK('Оценка'!G126)), "", 
(AVERAGE(
  (
    ('Оценка'!F126 + 4*AVERAGE('Оценка'!F126:G126) + 'Оценка'!G126)/6 - 
    2*(('Оценка'!G126 - 'Оценка'!F126)/6)
  )/5 , 
  (
    ('Оценка'!F126 + 4*AVERAGE('Оценка'!F126:G126) + 'Оценка'!G126)/6 + 
    2*(('Оценка'!G126 - 'Оценка'!F126)/6)
  )/5
) * 
(
  (
    ('PM (Расчеты)'!$C$22/8 + 'PM (Расчеты)'!$C$23/40) + 
    'PM (Расчеты)'!$C$21/100 + 'PM (Расчеты)'!$C$25/100 + 
    'PM (Расчеты)'!$C$26/100
  ) + 1
)))
 * 8 * 60 * 60
</f>
        <v>0</v>
      </c>
      <c r="J127" s="252" t="str">
        <f>'Оценка'!B130</f>
        <v/>
      </c>
      <c r="K127" s="253" t="str">
        <f t="shared" si="6"/>
        <v/>
      </c>
      <c r="L127" s="253" t="str">
        <f t="shared" si="7"/>
        <v/>
      </c>
    </row>
    <row r="128">
      <c r="A128" s="247" t="str">
        <f>'Оценка'!C131</f>
        <v/>
      </c>
      <c r="B128" s="247" t="str">
        <f>'Оценка'!D131</f>
        <v/>
      </c>
      <c r="C128" s="249" t="str">
        <f t="shared" si="1"/>
        <v/>
      </c>
      <c r="D128" s="249" t="str">
        <f t="shared" si="2"/>
        <v/>
      </c>
      <c r="E128" s="249" t="str">
        <f t="shared" si="3"/>
        <v/>
      </c>
      <c r="F128" s="158" t="str">
        <f t="shared" si="4"/>
        <v/>
      </c>
      <c r="G128" s="247" t="str">
        <f>IF(A128&lt;&gt;"", 'Sales (Итоги оценки)'!$C$4, "")</f>
        <v/>
      </c>
      <c r="H128" s="249" t="str">
        <f t="shared" si="5"/>
        <v/>
      </c>
      <c r="I128" s="251">
        <f>IF(OR(ISBLANK('Оценка'!F127), ISBLANK('Оценка'!G127)), "", 
(AVERAGE(
  (
    ('Оценка'!F127 + 4*AVERAGE('Оценка'!F127:G127) + 'Оценка'!G127)/6 - 
    2*(('Оценка'!G127 - 'Оценка'!F127)/6)
  )/5 , 
  (
    ('Оценка'!F127 + 4*AVERAGE('Оценка'!F127:G127) + 'Оценка'!G127)/6 + 
    2*(('Оценка'!G127 - 'Оценка'!F127)/6)
  )/5
) * 
(
  (
    ('PM (Расчеты)'!$C$22/8 + 'PM (Расчеты)'!$C$23/40) + 
    'PM (Расчеты)'!$C$21/100 + 'PM (Расчеты)'!$C$25/100 + 
    'PM (Расчеты)'!$C$26/100
  ) + 1
)))
 * 8 * 60 * 60
</f>
        <v>0</v>
      </c>
      <c r="J128" s="252" t="str">
        <f>'Оценка'!B131</f>
        <v/>
      </c>
      <c r="K128" s="253" t="str">
        <f t="shared" si="6"/>
        <v/>
      </c>
      <c r="L128" s="253" t="str">
        <f t="shared" si="7"/>
        <v/>
      </c>
    </row>
    <row r="129">
      <c r="A129" s="247" t="str">
        <f>'Оценка'!C132</f>
        <v/>
      </c>
      <c r="B129" s="247" t="str">
        <f>'Оценка'!D132</f>
        <v/>
      </c>
      <c r="C129" s="249" t="str">
        <f t="shared" si="1"/>
        <v/>
      </c>
      <c r="D129" s="249" t="str">
        <f t="shared" si="2"/>
        <v/>
      </c>
      <c r="E129" s="249" t="str">
        <f t="shared" si="3"/>
        <v/>
      </c>
      <c r="F129" s="158" t="str">
        <f t="shared" si="4"/>
        <v/>
      </c>
      <c r="G129" s="247" t="str">
        <f>IF(A129&lt;&gt;"", 'Sales (Итоги оценки)'!$C$4, "")</f>
        <v/>
      </c>
      <c r="H129" s="249" t="str">
        <f t="shared" si="5"/>
        <v/>
      </c>
      <c r="I129" s="251">
        <f>IF(OR(ISBLANK('Оценка'!F128), ISBLANK('Оценка'!G128)), "", 
(AVERAGE(
  (
    ('Оценка'!F128 + 4*AVERAGE('Оценка'!F128:G128) + 'Оценка'!G128)/6 - 
    2*(('Оценка'!G128 - 'Оценка'!F128)/6)
  )/5 , 
  (
    ('Оценка'!F128 + 4*AVERAGE('Оценка'!F128:G128) + 'Оценка'!G128)/6 + 
    2*(('Оценка'!G128 - 'Оценка'!F128)/6)
  )/5
) * 
(
  (
    ('PM (Расчеты)'!$C$22/8 + 'PM (Расчеты)'!$C$23/40) + 
    'PM (Расчеты)'!$C$21/100 + 'PM (Расчеты)'!$C$25/100 + 
    'PM (Расчеты)'!$C$26/100
  ) + 1
)))
 * 8 * 60 * 60
</f>
        <v>0</v>
      </c>
      <c r="J129" s="252" t="str">
        <f>'Оценка'!B132</f>
        <v/>
      </c>
      <c r="K129" s="253" t="str">
        <f t="shared" si="6"/>
        <v/>
      </c>
      <c r="L129" s="253" t="str">
        <f t="shared" si="7"/>
        <v/>
      </c>
    </row>
    <row r="130">
      <c r="A130" s="247" t="str">
        <f>'Оценка'!C133</f>
        <v/>
      </c>
      <c r="B130" s="247" t="str">
        <f>'Оценка'!D133</f>
        <v/>
      </c>
      <c r="C130" s="249" t="str">
        <f t="shared" si="1"/>
        <v/>
      </c>
      <c r="D130" s="249" t="str">
        <f t="shared" si="2"/>
        <v/>
      </c>
      <c r="E130" s="249" t="str">
        <f t="shared" si="3"/>
        <v/>
      </c>
      <c r="F130" s="158" t="str">
        <f t="shared" si="4"/>
        <v/>
      </c>
      <c r="G130" s="247" t="str">
        <f>IF(A130&lt;&gt;"", 'Sales (Итоги оценки)'!$C$4, "")</f>
        <v/>
      </c>
      <c r="H130" s="249" t="str">
        <f t="shared" si="5"/>
        <v/>
      </c>
      <c r="I130" s="251">
        <f>IF(OR(ISBLANK('Оценка'!F129), ISBLANK('Оценка'!G129)), "", 
(AVERAGE(
  (
    ('Оценка'!F129 + 4*AVERAGE('Оценка'!F129:G129) + 'Оценка'!G129)/6 - 
    2*(('Оценка'!G129 - 'Оценка'!F129)/6)
  )/5 , 
  (
    ('Оценка'!F129 + 4*AVERAGE('Оценка'!F129:G129) + 'Оценка'!G129)/6 + 
    2*(('Оценка'!G129 - 'Оценка'!F129)/6)
  )/5
) * 
(
  (
    ('PM (Расчеты)'!$C$22/8 + 'PM (Расчеты)'!$C$23/40) + 
    'PM (Расчеты)'!$C$21/100 + 'PM (Расчеты)'!$C$25/100 + 
    'PM (Расчеты)'!$C$26/100
  ) + 1
)))
 * 8 * 60 * 60
</f>
        <v>0</v>
      </c>
      <c r="J130" s="252" t="str">
        <f>'Оценка'!B133</f>
        <v/>
      </c>
      <c r="K130" s="253" t="str">
        <f t="shared" si="6"/>
        <v/>
      </c>
      <c r="L130" s="253" t="str">
        <f t="shared" si="7"/>
        <v/>
      </c>
    </row>
    <row r="131">
      <c r="A131" s="247" t="str">
        <f>'Оценка'!C134</f>
        <v/>
      </c>
      <c r="B131" s="247" t="str">
        <f>'Оценка'!D134</f>
        <v/>
      </c>
      <c r="C131" s="249" t="str">
        <f t="shared" si="1"/>
        <v/>
      </c>
      <c r="D131" s="249" t="str">
        <f t="shared" si="2"/>
        <v/>
      </c>
      <c r="E131" s="249" t="str">
        <f t="shared" si="3"/>
        <v/>
      </c>
      <c r="F131" s="158" t="str">
        <f t="shared" si="4"/>
        <v/>
      </c>
      <c r="G131" s="247" t="str">
        <f>IF(A131&lt;&gt;"", 'Sales (Итоги оценки)'!$C$4, "")</f>
        <v/>
      </c>
      <c r="H131" s="249" t="str">
        <f t="shared" si="5"/>
        <v/>
      </c>
      <c r="I131" s="251">
        <f>IF(OR(ISBLANK('Оценка'!F130), ISBLANK('Оценка'!G130)), "", 
(AVERAGE(
  (
    ('Оценка'!F130 + 4*AVERAGE('Оценка'!F130:G130) + 'Оценка'!G130)/6 - 
    2*(('Оценка'!G130 - 'Оценка'!F130)/6)
  )/5 , 
  (
    ('Оценка'!F130 + 4*AVERAGE('Оценка'!F130:G130) + 'Оценка'!G130)/6 + 
    2*(('Оценка'!G130 - 'Оценка'!F130)/6)
  )/5
) * 
(
  (
    ('PM (Расчеты)'!$C$22/8 + 'PM (Расчеты)'!$C$23/40) + 
    'PM (Расчеты)'!$C$21/100 + 'PM (Расчеты)'!$C$25/100 + 
    'PM (Расчеты)'!$C$26/100
  ) + 1
)))
 * 8 * 60 * 60
</f>
        <v>0</v>
      </c>
      <c r="J131" s="252" t="str">
        <f>'Оценка'!B134</f>
        <v/>
      </c>
      <c r="K131" s="253" t="str">
        <f t="shared" si="6"/>
        <v/>
      </c>
      <c r="L131" s="253" t="str">
        <f t="shared" si="7"/>
        <v/>
      </c>
    </row>
    <row r="132">
      <c r="A132" s="247" t="str">
        <f>'Оценка'!C135</f>
        <v/>
      </c>
      <c r="B132" s="247" t="str">
        <f>'Оценка'!D135</f>
        <v/>
      </c>
      <c r="C132" s="249" t="str">
        <f t="shared" si="1"/>
        <v/>
      </c>
      <c r="D132" s="249" t="str">
        <f t="shared" si="2"/>
        <v/>
      </c>
      <c r="E132" s="249" t="str">
        <f t="shared" si="3"/>
        <v/>
      </c>
      <c r="F132" s="158" t="str">
        <f t="shared" si="4"/>
        <v/>
      </c>
      <c r="G132" s="247" t="str">
        <f>IF(A132&lt;&gt;"", 'Sales (Итоги оценки)'!$C$4, "")</f>
        <v/>
      </c>
      <c r="H132" s="249" t="str">
        <f t="shared" si="5"/>
        <v/>
      </c>
      <c r="I132" s="251">
        <f>IF(OR(ISBLANK('Оценка'!F131), ISBLANK('Оценка'!G131)), "", 
(AVERAGE(
  (
    ('Оценка'!F131 + 4*AVERAGE('Оценка'!F131:G131) + 'Оценка'!G131)/6 - 
    2*(('Оценка'!G131 - 'Оценка'!F131)/6)
  )/5 , 
  (
    ('Оценка'!F131 + 4*AVERAGE('Оценка'!F131:G131) + 'Оценка'!G131)/6 + 
    2*(('Оценка'!G131 - 'Оценка'!F131)/6)
  )/5
) * 
(
  (
    ('PM (Расчеты)'!$C$22/8 + 'PM (Расчеты)'!$C$23/40) + 
    'PM (Расчеты)'!$C$21/100 + 'PM (Расчеты)'!$C$25/100 + 
    'PM (Расчеты)'!$C$26/100
  ) + 1
)))
 * 8 * 60 * 60
</f>
        <v>0</v>
      </c>
      <c r="J132" s="252" t="str">
        <f>'Оценка'!B135</f>
        <v/>
      </c>
      <c r="K132" s="253" t="str">
        <f t="shared" si="6"/>
        <v/>
      </c>
      <c r="L132" s="253" t="str">
        <f t="shared" si="7"/>
        <v/>
      </c>
    </row>
    <row r="133">
      <c r="A133" s="247" t="str">
        <f>'Оценка'!C136</f>
        <v/>
      </c>
      <c r="B133" s="247" t="str">
        <f>'Оценка'!D136</f>
        <v/>
      </c>
      <c r="C133" s="249" t="str">
        <f t="shared" si="1"/>
        <v/>
      </c>
      <c r="D133" s="249" t="str">
        <f t="shared" si="2"/>
        <v/>
      </c>
      <c r="E133" s="249" t="str">
        <f t="shared" si="3"/>
        <v/>
      </c>
      <c r="F133" s="158" t="str">
        <f t="shared" si="4"/>
        <v/>
      </c>
      <c r="G133" s="247" t="str">
        <f>IF(A133&lt;&gt;"", 'Sales (Итоги оценки)'!$C$4, "")</f>
        <v/>
      </c>
      <c r="H133" s="249" t="str">
        <f t="shared" si="5"/>
        <v/>
      </c>
      <c r="I133" s="251">
        <f>IF(OR(ISBLANK('Оценка'!F132), ISBLANK('Оценка'!G132)), "", 
(AVERAGE(
  (
    ('Оценка'!F132 + 4*AVERAGE('Оценка'!F132:G132) + 'Оценка'!G132)/6 - 
    2*(('Оценка'!G132 - 'Оценка'!F132)/6)
  )/5 , 
  (
    ('Оценка'!F132 + 4*AVERAGE('Оценка'!F132:G132) + 'Оценка'!G132)/6 + 
    2*(('Оценка'!G132 - 'Оценка'!F132)/6)
  )/5
) * 
(
  (
    ('PM (Расчеты)'!$C$22/8 + 'PM (Расчеты)'!$C$23/40) + 
    'PM (Расчеты)'!$C$21/100 + 'PM (Расчеты)'!$C$25/100 + 
    'PM (Расчеты)'!$C$26/100
  ) + 1
)))
 * 8 * 60 * 60
</f>
        <v>0</v>
      </c>
      <c r="J133" s="252" t="str">
        <f>'Оценка'!B136</f>
        <v/>
      </c>
      <c r="K133" s="253" t="str">
        <f t="shared" si="6"/>
        <v/>
      </c>
      <c r="L133" s="253" t="str">
        <f t="shared" si="7"/>
        <v/>
      </c>
    </row>
    <row r="134">
      <c r="A134" s="247" t="str">
        <f>'Оценка'!C137</f>
        <v/>
      </c>
      <c r="B134" s="247" t="str">
        <f>'Оценка'!D137</f>
        <v/>
      </c>
      <c r="C134" s="249" t="str">
        <f t="shared" si="1"/>
        <v/>
      </c>
      <c r="D134" s="249" t="str">
        <f t="shared" si="2"/>
        <v/>
      </c>
      <c r="E134" s="249" t="str">
        <f t="shared" si="3"/>
        <v/>
      </c>
      <c r="F134" s="158" t="str">
        <f t="shared" si="4"/>
        <v/>
      </c>
      <c r="G134" s="247" t="str">
        <f>IF(A134&lt;&gt;"", 'Sales (Итоги оценки)'!$C$4, "")</f>
        <v/>
      </c>
      <c r="H134" s="249" t="str">
        <f t="shared" si="5"/>
        <v/>
      </c>
      <c r="I134" s="251">
        <f>IF(OR(ISBLANK('Оценка'!F133), ISBLANK('Оценка'!G133)), "", 
(AVERAGE(
  (
    ('Оценка'!F133 + 4*AVERAGE('Оценка'!F133:G133) + 'Оценка'!G133)/6 - 
    2*(('Оценка'!G133 - 'Оценка'!F133)/6)
  )/5 , 
  (
    ('Оценка'!F133 + 4*AVERAGE('Оценка'!F133:G133) + 'Оценка'!G133)/6 + 
    2*(('Оценка'!G133 - 'Оценка'!F133)/6)
  )/5
) * 
(
  (
    ('PM (Расчеты)'!$C$22/8 + 'PM (Расчеты)'!$C$23/40) + 
    'PM (Расчеты)'!$C$21/100 + 'PM (Расчеты)'!$C$25/100 + 
    'PM (Расчеты)'!$C$26/100
  ) + 1
)))
 * 8 * 60 * 60
</f>
        <v>0</v>
      </c>
      <c r="J134" s="252" t="str">
        <f>'Оценка'!B137</f>
        <v/>
      </c>
      <c r="K134" s="253" t="str">
        <f t="shared" si="6"/>
        <v/>
      </c>
      <c r="L134" s="253" t="str">
        <f t="shared" si="7"/>
        <v/>
      </c>
    </row>
    <row r="135">
      <c r="A135" s="247" t="str">
        <f>'Оценка'!C138</f>
        <v/>
      </c>
      <c r="B135" s="247" t="str">
        <f>'Оценка'!D138</f>
        <v/>
      </c>
      <c r="C135" s="249" t="str">
        <f t="shared" si="1"/>
        <v/>
      </c>
      <c r="D135" s="249" t="str">
        <f t="shared" si="2"/>
        <v/>
      </c>
      <c r="E135" s="249" t="str">
        <f t="shared" si="3"/>
        <v/>
      </c>
      <c r="F135" s="158" t="str">
        <f t="shared" si="4"/>
        <v/>
      </c>
      <c r="G135" s="247" t="str">
        <f>IF(A135&lt;&gt;"", 'Sales (Итоги оценки)'!$C$4, "")</f>
        <v/>
      </c>
      <c r="H135" s="249" t="str">
        <f t="shared" si="5"/>
        <v/>
      </c>
      <c r="I135" s="251">
        <f>IF(OR(ISBLANK('Оценка'!F134), ISBLANK('Оценка'!G134)), "", 
(AVERAGE(
  (
    ('Оценка'!F134 + 4*AVERAGE('Оценка'!F134:G134) + 'Оценка'!G134)/6 - 
    2*(('Оценка'!G134 - 'Оценка'!F134)/6)
  )/5 , 
  (
    ('Оценка'!F134 + 4*AVERAGE('Оценка'!F134:G134) + 'Оценка'!G134)/6 + 
    2*(('Оценка'!G134 - 'Оценка'!F134)/6)
  )/5
) * 
(
  (
    ('PM (Расчеты)'!$C$22/8 + 'PM (Расчеты)'!$C$23/40) + 
    'PM (Расчеты)'!$C$21/100 + 'PM (Расчеты)'!$C$25/100 + 
    'PM (Расчеты)'!$C$26/100
  ) + 1
)))
 * 8 * 60 * 60
</f>
        <v>0</v>
      </c>
      <c r="J135" s="252" t="str">
        <f>'Оценка'!B138</f>
        <v/>
      </c>
      <c r="K135" s="253" t="str">
        <f t="shared" si="6"/>
        <v/>
      </c>
      <c r="L135" s="253" t="str">
        <f t="shared" si="7"/>
        <v/>
      </c>
    </row>
    <row r="136">
      <c r="A136" s="247" t="str">
        <f>'Оценка'!C139</f>
        <v/>
      </c>
      <c r="B136" s="247" t="str">
        <f>'Оценка'!D139</f>
        <v/>
      </c>
      <c r="C136" s="249" t="str">
        <f t="shared" si="1"/>
        <v/>
      </c>
      <c r="D136" s="249" t="str">
        <f t="shared" si="2"/>
        <v/>
      </c>
      <c r="E136" s="249" t="str">
        <f t="shared" si="3"/>
        <v/>
      </c>
      <c r="F136" s="158" t="str">
        <f t="shared" si="4"/>
        <v/>
      </c>
      <c r="G136" s="247" t="str">
        <f>IF(A136&lt;&gt;"", 'Sales (Итоги оценки)'!$C$4, "")</f>
        <v/>
      </c>
      <c r="H136" s="249" t="str">
        <f t="shared" si="5"/>
        <v/>
      </c>
      <c r="I136" s="251">
        <f>IF(OR(ISBLANK('Оценка'!F135), ISBLANK('Оценка'!G135)), "", 
(AVERAGE(
  (
    ('Оценка'!F135 + 4*AVERAGE('Оценка'!F135:G135) + 'Оценка'!G135)/6 - 
    2*(('Оценка'!G135 - 'Оценка'!F135)/6)
  )/5 , 
  (
    ('Оценка'!F135 + 4*AVERAGE('Оценка'!F135:G135) + 'Оценка'!G135)/6 + 
    2*(('Оценка'!G135 - 'Оценка'!F135)/6)
  )/5
) * 
(
  (
    ('PM (Расчеты)'!$C$22/8 + 'PM (Расчеты)'!$C$23/40) + 
    'PM (Расчеты)'!$C$21/100 + 'PM (Расчеты)'!$C$25/100 + 
    'PM (Расчеты)'!$C$26/100
  ) + 1
)))
 * 8 * 60 * 60
</f>
        <v>0</v>
      </c>
      <c r="J136" s="252" t="str">
        <f>'Оценка'!B139</f>
        <v/>
      </c>
      <c r="K136" s="253" t="str">
        <f t="shared" si="6"/>
        <v/>
      </c>
      <c r="L136" s="253" t="str">
        <f t="shared" si="7"/>
        <v/>
      </c>
    </row>
    <row r="137">
      <c r="A137" s="247" t="str">
        <f>'Оценка'!C140</f>
        <v/>
      </c>
      <c r="B137" s="247" t="str">
        <f>'Оценка'!D140</f>
        <v/>
      </c>
      <c r="C137" s="249" t="str">
        <f t="shared" si="1"/>
        <v/>
      </c>
      <c r="D137" s="249" t="str">
        <f t="shared" si="2"/>
        <v/>
      </c>
      <c r="E137" s="249" t="str">
        <f t="shared" si="3"/>
        <v/>
      </c>
      <c r="F137" s="158" t="str">
        <f t="shared" si="4"/>
        <v/>
      </c>
      <c r="G137" s="247" t="str">
        <f>IF(A137&lt;&gt;"", 'Sales (Итоги оценки)'!$C$4, "")</f>
        <v/>
      </c>
      <c r="H137" s="249" t="str">
        <f t="shared" si="5"/>
        <v/>
      </c>
      <c r="I137" s="251">
        <f>IF(OR(ISBLANK('Оценка'!F136), ISBLANK('Оценка'!G136)), "", 
(AVERAGE(
  (
    ('Оценка'!F136 + 4*AVERAGE('Оценка'!F136:G136) + 'Оценка'!G136)/6 - 
    2*(('Оценка'!G136 - 'Оценка'!F136)/6)
  )/5 , 
  (
    ('Оценка'!F136 + 4*AVERAGE('Оценка'!F136:G136) + 'Оценка'!G136)/6 + 
    2*(('Оценка'!G136 - 'Оценка'!F136)/6)
  )/5
) * 
(
  (
    ('PM (Расчеты)'!$C$22/8 + 'PM (Расчеты)'!$C$23/40) + 
    'PM (Расчеты)'!$C$21/100 + 'PM (Расчеты)'!$C$25/100 + 
    'PM (Расчеты)'!$C$26/100
  ) + 1
)))
 * 8 * 60 * 60
</f>
        <v>0</v>
      </c>
      <c r="J137" s="252" t="str">
        <f>'Оценка'!B140</f>
        <v/>
      </c>
      <c r="K137" s="253" t="str">
        <f t="shared" si="6"/>
        <v/>
      </c>
      <c r="L137" s="253" t="str">
        <f t="shared" si="7"/>
        <v/>
      </c>
    </row>
    <row r="138">
      <c r="A138" s="247" t="str">
        <f>'Оценка'!C141</f>
        <v/>
      </c>
      <c r="B138" s="247" t="str">
        <f>'Оценка'!D141</f>
        <v/>
      </c>
      <c r="C138" s="249" t="str">
        <f t="shared" si="1"/>
        <v/>
      </c>
      <c r="D138" s="249" t="str">
        <f t="shared" si="2"/>
        <v/>
      </c>
      <c r="E138" s="249" t="str">
        <f t="shared" si="3"/>
        <v/>
      </c>
      <c r="F138" s="158" t="str">
        <f t="shared" si="4"/>
        <v/>
      </c>
      <c r="G138" s="247" t="str">
        <f>IF(A138&lt;&gt;"", 'Sales (Итоги оценки)'!$C$4, "")</f>
        <v/>
      </c>
      <c r="H138" s="249" t="str">
        <f t="shared" si="5"/>
        <v/>
      </c>
      <c r="I138" s="251">
        <f>IF(OR(ISBLANK('Оценка'!F137), ISBLANK('Оценка'!G137)), "", 
(AVERAGE(
  (
    ('Оценка'!F137 + 4*AVERAGE('Оценка'!F137:G137) + 'Оценка'!G137)/6 - 
    2*(('Оценка'!G137 - 'Оценка'!F137)/6)
  )/5 , 
  (
    ('Оценка'!F137 + 4*AVERAGE('Оценка'!F137:G137) + 'Оценка'!G137)/6 + 
    2*(('Оценка'!G137 - 'Оценка'!F137)/6)
  )/5
) * 
(
  (
    ('PM (Расчеты)'!$C$22/8 + 'PM (Расчеты)'!$C$23/40) + 
    'PM (Расчеты)'!$C$21/100 + 'PM (Расчеты)'!$C$25/100 + 
    'PM (Расчеты)'!$C$26/100
  ) + 1
)))
 * 8 * 60 * 60
</f>
        <v>0</v>
      </c>
      <c r="J138" s="252" t="str">
        <f>'Оценка'!B141</f>
        <v/>
      </c>
      <c r="K138" s="253" t="str">
        <f t="shared" si="6"/>
        <v/>
      </c>
      <c r="L138" s="253" t="str">
        <f t="shared" si="7"/>
        <v/>
      </c>
    </row>
    <row r="139">
      <c r="A139" s="247" t="str">
        <f>'Оценка'!C142</f>
        <v/>
      </c>
      <c r="B139" s="247" t="str">
        <f>'Оценка'!D142</f>
        <v/>
      </c>
      <c r="C139" s="249" t="str">
        <f t="shared" si="1"/>
        <v/>
      </c>
      <c r="D139" s="249" t="str">
        <f t="shared" si="2"/>
        <v/>
      </c>
      <c r="E139" s="249" t="str">
        <f t="shared" si="3"/>
        <v/>
      </c>
      <c r="F139" s="158" t="str">
        <f t="shared" si="4"/>
        <v/>
      </c>
      <c r="G139" s="247" t="str">
        <f>IF(A139&lt;&gt;"", 'Sales (Итоги оценки)'!$C$4, "")</f>
        <v/>
      </c>
      <c r="H139" s="249" t="str">
        <f t="shared" si="5"/>
        <v/>
      </c>
      <c r="I139" s="251">
        <f>IF(OR(ISBLANK('Оценка'!F138), ISBLANK('Оценка'!G138)), "", 
(AVERAGE(
  (
    ('Оценка'!F138 + 4*AVERAGE('Оценка'!F138:G138) + 'Оценка'!G138)/6 - 
    2*(('Оценка'!G138 - 'Оценка'!F138)/6)
  )/5 , 
  (
    ('Оценка'!F138 + 4*AVERAGE('Оценка'!F138:G138) + 'Оценка'!G138)/6 + 
    2*(('Оценка'!G138 - 'Оценка'!F138)/6)
  )/5
) * 
(
  (
    ('PM (Расчеты)'!$C$22/8 + 'PM (Расчеты)'!$C$23/40) + 
    'PM (Расчеты)'!$C$21/100 + 'PM (Расчеты)'!$C$25/100 + 
    'PM (Расчеты)'!$C$26/100
  ) + 1
)))
 * 8 * 60 * 60
</f>
        <v>0</v>
      </c>
      <c r="J139" s="252" t="str">
        <f>'Оценка'!B142</f>
        <v/>
      </c>
      <c r="K139" s="253" t="str">
        <f t="shared" si="6"/>
        <v/>
      </c>
      <c r="L139" s="253" t="str">
        <f t="shared" si="7"/>
        <v/>
      </c>
    </row>
    <row r="140">
      <c r="A140" s="247" t="str">
        <f>'Оценка'!C143</f>
        <v/>
      </c>
      <c r="B140" s="247" t="str">
        <f>'Оценка'!D143</f>
        <v/>
      </c>
      <c r="C140" s="249" t="str">
        <f t="shared" si="1"/>
        <v/>
      </c>
      <c r="D140" s="249" t="str">
        <f t="shared" si="2"/>
        <v/>
      </c>
      <c r="E140" s="249" t="str">
        <f t="shared" si="3"/>
        <v/>
      </c>
      <c r="F140" s="158" t="str">
        <f t="shared" si="4"/>
        <v/>
      </c>
      <c r="G140" s="247" t="str">
        <f>IF(A140&lt;&gt;"", 'Sales (Итоги оценки)'!$C$4, "")</f>
        <v/>
      </c>
      <c r="H140" s="249" t="str">
        <f t="shared" si="5"/>
        <v/>
      </c>
      <c r="I140" s="251">
        <f>IF(OR(ISBLANK('Оценка'!F139), ISBLANK('Оценка'!G139)), "", 
(AVERAGE(
  (
    ('Оценка'!F139 + 4*AVERAGE('Оценка'!F139:G139) + 'Оценка'!G139)/6 - 
    2*(('Оценка'!G139 - 'Оценка'!F139)/6)
  )/5 , 
  (
    ('Оценка'!F139 + 4*AVERAGE('Оценка'!F139:G139) + 'Оценка'!G139)/6 + 
    2*(('Оценка'!G139 - 'Оценка'!F139)/6)
  )/5
) * 
(
  (
    ('PM (Расчеты)'!$C$22/8 + 'PM (Расчеты)'!$C$23/40) + 
    'PM (Расчеты)'!$C$21/100 + 'PM (Расчеты)'!$C$25/100 + 
    'PM (Расчеты)'!$C$26/100
  ) + 1
)))
 * 8 * 60 * 60
</f>
        <v>0</v>
      </c>
      <c r="J140" s="252" t="str">
        <f>'Оценка'!B143</f>
        <v/>
      </c>
      <c r="K140" s="253" t="str">
        <f t="shared" si="6"/>
        <v/>
      </c>
      <c r="L140" s="253" t="str">
        <f t="shared" si="7"/>
        <v/>
      </c>
    </row>
    <row r="141">
      <c r="A141" s="247" t="str">
        <f>'Оценка'!C144</f>
        <v/>
      </c>
      <c r="B141" s="247" t="str">
        <f>'Оценка'!D144</f>
        <v/>
      </c>
      <c r="C141" s="249" t="str">
        <f t="shared" si="1"/>
        <v/>
      </c>
      <c r="D141" s="249" t="str">
        <f t="shared" si="2"/>
        <v/>
      </c>
      <c r="E141" s="249" t="str">
        <f t="shared" si="3"/>
        <v/>
      </c>
      <c r="F141" s="158" t="str">
        <f t="shared" si="4"/>
        <v/>
      </c>
      <c r="G141" s="247" t="str">
        <f>IF(A141&lt;&gt;"", 'Sales (Итоги оценки)'!$C$4, "")</f>
        <v/>
      </c>
      <c r="H141" s="249" t="str">
        <f t="shared" si="5"/>
        <v/>
      </c>
      <c r="I141" s="251">
        <f>IF(OR(ISBLANK('Оценка'!F140), ISBLANK('Оценка'!G140)), "", 
(AVERAGE(
  (
    ('Оценка'!F140 + 4*AVERAGE('Оценка'!F140:G140) + 'Оценка'!G140)/6 - 
    2*(('Оценка'!G140 - 'Оценка'!F140)/6)
  )/5 , 
  (
    ('Оценка'!F140 + 4*AVERAGE('Оценка'!F140:G140) + 'Оценка'!G140)/6 + 
    2*(('Оценка'!G140 - 'Оценка'!F140)/6)
  )/5
) * 
(
  (
    ('PM (Расчеты)'!$C$22/8 + 'PM (Расчеты)'!$C$23/40) + 
    'PM (Расчеты)'!$C$21/100 + 'PM (Расчеты)'!$C$25/100 + 
    'PM (Расчеты)'!$C$26/100
  ) + 1
)))
 * 8 * 60 * 60
</f>
        <v>0</v>
      </c>
      <c r="J141" s="252" t="str">
        <f>'Оценка'!B144</f>
        <v/>
      </c>
      <c r="K141" s="253" t="str">
        <f t="shared" si="6"/>
        <v/>
      </c>
      <c r="L141" s="253" t="str">
        <f t="shared" si="7"/>
        <v/>
      </c>
    </row>
    <row r="142">
      <c r="A142" s="247" t="str">
        <f>'Оценка'!C145</f>
        <v/>
      </c>
      <c r="B142" s="247" t="str">
        <f>'Оценка'!D145</f>
        <v/>
      </c>
      <c r="C142" s="249" t="str">
        <f t="shared" si="1"/>
        <v/>
      </c>
      <c r="D142" s="249" t="str">
        <f t="shared" si="2"/>
        <v/>
      </c>
      <c r="E142" s="249" t="str">
        <f t="shared" si="3"/>
        <v/>
      </c>
      <c r="F142" s="158" t="str">
        <f t="shared" si="4"/>
        <v/>
      </c>
      <c r="G142" s="247" t="str">
        <f>IF(A142&lt;&gt;"", 'Sales (Итоги оценки)'!$C$4, "")</f>
        <v/>
      </c>
      <c r="H142" s="249" t="str">
        <f t="shared" si="5"/>
        <v/>
      </c>
      <c r="I142" s="251">
        <f>IF(OR(ISBLANK('Оценка'!F141), ISBLANK('Оценка'!G141)), "", 
(AVERAGE(
  (
    ('Оценка'!F141 + 4*AVERAGE('Оценка'!F141:G141) + 'Оценка'!G141)/6 - 
    2*(('Оценка'!G141 - 'Оценка'!F141)/6)
  )/5 , 
  (
    ('Оценка'!F141 + 4*AVERAGE('Оценка'!F141:G141) + 'Оценка'!G141)/6 + 
    2*(('Оценка'!G141 - 'Оценка'!F141)/6)
  )/5
) * 
(
  (
    ('PM (Расчеты)'!$C$22/8 + 'PM (Расчеты)'!$C$23/40) + 
    'PM (Расчеты)'!$C$21/100 + 'PM (Расчеты)'!$C$25/100 + 
    'PM (Расчеты)'!$C$26/100
  ) + 1
)))
 * 8 * 60 * 60
</f>
        <v>0</v>
      </c>
      <c r="J142" s="252" t="str">
        <f>'Оценка'!B145</f>
        <v/>
      </c>
      <c r="K142" s="253" t="str">
        <f t="shared" si="6"/>
        <v/>
      </c>
      <c r="L142" s="253" t="str">
        <f t="shared" si="7"/>
        <v/>
      </c>
    </row>
    <row r="143">
      <c r="A143" s="247" t="str">
        <f>'Оценка'!C146</f>
        <v/>
      </c>
      <c r="B143" s="247" t="str">
        <f>'Оценка'!D146</f>
        <v/>
      </c>
      <c r="C143" s="249" t="str">
        <f t="shared" si="1"/>
        <v/>
      </c>
      <c r="D143" s="249" t="str">
        <f t="shared" si="2"/>
        <v/>
      </c>
      <c r="E143" s="249" t="str">
        <f t="shared" si="3"/>
        <v/>
      </c>
      <c r="F143" s="158" t="str">
        <f t="shared" si="4"/>
        <v/>
      </c>
      <c r="G143" s="247" t="str">
        <f>IF(A143&lt;&gt;"", 'Sales (Итоги оценки)'!$C$4, "")</f>
        <v/>
      </c>
      <c r="H143" s="249" t="str">
        <f t="shared" si="5"/>
        <v/>
      </c>
      <c r="I143" s="251">
        <f>IF(OR(ISBLANK('Оценка'!F142), ISBLANK('Оценка'!G142)), "", 
(AVERAGE(
  (
    ('Оценка'!F142 + 4*AVERAGE('Оценка'!F142:G142) + 'Оценка'!G142)/6 - 
    2*(('Оценка'!G142 - 'Оценка'!F142)/6)
  )/5 , 
  (
    ('Оценка'!F142 + 4*AVERAGE('Оценка'!F142:G142) + 'Оценка'!G142)/6 + 
    2*(('Оценка'!G142 - 'Оценка'!F142)/6)
  )/5
) * 
(
  (
    ('PM (Расчеты)'!$C$22/8 + 'PM (Расчеты)'!$C$23/40) + 
    'PM (Расчеты)'!$C$21/100 + 'PM (Расчеты)'!$C$25/100 + 
    'PM (Расчеты)'!$C$26/100
  ) + 1
)))
 * 8 * 60 * 60
</f>
        <v>0</v>
      </c>
      <c r="J143" s="252" t="str">
        <f>'Оценка'!B146</f>
        <v/>
      </c>
      <c r="K143" s="253" t="str">
        <f t="shared" si="6"/>
        <v/>
      </c>
      <c r="L143" s="253" t="str">
        <f t="shared" si="7"/>
        <v/>
      </c>
    </row>
    <row r="144">
      <c r="A144" s="247" t="str">
        <f>'Оценка'!C147</f>
        <v/>
      </c>
      <c r="B144" s="247" t="str">
        <f>'Оценка'!D147</f>
        <v/>
      </c>
      <c r="C144" s="249" t="str">
        <f t="shared" si="1"/>
        <v/>
      </c>
      <c r="D144" s="249" t="str">
        <f t="shared" si="2"/>
        <v/>
      </c>
      <c r="E144" s="249" t="str">
        <f t="shared" si="3"/>
        <v/>
      </c>
      <c r="F144" s="158" t="str">
        <f t="shared" si="4"/>
        <v/>
      </c>
      <c r="G144" s="247" t="str">
        <f>IF(A144&lt;&gt;"", 'Sales (Итоги оценки)'!$C$4, "")</f>
        <v/>
      </c>
      <c r="H144" s="249" t="str">
        <f t="shared" si="5"/>
        <v/>
      </c>
      <c r="I144" s="251">
        <f>IF(OR(ISBLANK('Оценка'!F143), ISBLANK('Оценка'!G143)), "", 
(AVERAGE(
  (
    ('Оценка'!F143 + 4*AVERAGE('Оценка'!F143:G143) + 'Оценка'!G143)/6 - 
    2*(('Оценка'!G143 - 'Оценка'!F143)/6)
  )/5 , 
  (
    ('Оценка'!F143 + 4*AVERAGE('Оценка'!F143:G143) + 'Оценка'!G143)/6 + 
    2*(('Оценка'!G143 - 'Оценка'!F143)/6)
  )/5
) * 
(
  (
    ('PM (Расчеты)'!$C$22/8 + 'PM (Расчеты)'!$C$23/40) + 
    'PM (Расчеты)'!$C$21/100 + 'PM (Расчеты)'!$C$25/100 + 
    'PM (Расчеты)'!$C$26/100
  ) + 1
)))
 * 8 * 60 * 60
</f>
        <v>0</v>
      </c>
      <c r="J144" s="252" t="str">
        <f>'Оценка'!B147</f>
        <v/>
      </c>
      <c r="K144" s="253" t="str">
        <f t="shared" si="6"/>
        <v/>
      </c>
      <c r="L144" s="253" t="str">
        <f t="shared" si="7"/>
        <v/>
      </c>
    </row>
    <row r="145">
      <c r="A145" s="247" t="str">
        <f>'Оценка'!C148</f>
        <v/>
      </c>
      <c r="B145" s="247" t="str">
        <f>'Оценка'!D148</f>
        <v/>
      </c>
      <c r="C145" s="249" t="str">
        <f t="shared" si="1"/>
        <v/>
      </c>
      <c r="D145" s="249" t="str">
        <f t="shared" si="2"/>
        <v/>
      </c>
      <c r="E145" s="249" t="str">
        <f t="shared" si="3"/>
        <v/>
      </c>
      <c r="F145" s="158" t="str">
        <f t="shared" si="4"/>
        <v/>
      </c>
      <c r="G145" s="247" t="str">
        <f>IF(A145&lt;&gt;"", 'Sales (Итоги оценки)'!$C$4, "")</f>
        <v/>
      </c>
      <c r="H145" s="249" t="str">
        <f t="shared" si="5"/>
        <v/>
      </c>
      <c r="I145" s="251">
        <f>IF(OR(ISBLANK('Оценка'!F144), ISBLANK('Оценка'!G144)), "", 
(AVERAGE(
  (
    ('Оценка'!F144 + 4*AVERAGE('Оценка'!F144:G144) + 'Оценка'!G144)/6 - 
    2*(('Оценка'!G144 - 'Оценка'!F144)/6)
  )/5 , 
  (
    ('Оценка'!F144 + 4*AVERAGE('Оценка'!F144:G144) + 'Оценка'!G144)/6 + 
    2*(('Оценка'!G144 - 'Оценка'!F144)/6)
  )/5
) * 
(
  (
    ('PM (Расчеты)'!$C$22/8 + 'PM (Расчеты)'!$C$23/40) + 
    'PM (Расчеты)'!$C$21/100 + 'PM (Расчеты)'!$C$25/100 + 
    'PM (Расчеты)'!$C$26/100
  ) + 1
)))
 * 8 * 60 * 60
</f>
        <v>0</v>
      </c>
      <c r="J145" s="252" t="str">
        <f>'Оценка'!B148</f>
        <v/>
      </c>
      <c r="K145" s="253" t="str">
        <f t="shared" si="6"/>
        <v/>
      </c>
      <c r="L145" s="253" t="str">
        <f t="shared" si="7"/>
        <v/>
      </c>
    </row>
    <row r="146">
      <c r="A146" s="247" t="str">
        <f>'Оценка'!C149</f>
        <v/>
      </c>
      <c r="B146" s="247" t="str">
        <f>'Оценка'!D149</f>
        <v/>
      </c>
      <c r="C146" s="249" t="str">
        <f t="shared" si="1"/>
        <v/>
      </c>
      <c r="D146" s="249" t="str">
        <f t="shared" si="2"/>
        <v/>
      </c>
      <c r="E146" s="249" t="str">
        <f t="shared" si="3"/>
        <v/>
      </c>
      <c r="F146" s="158" t="str">
        <f t="shared" si="4"/>
        <v/>
      </c>
      <c r="G146" s="247" t="str">
        <f>IF(A146&lt;&gt;"", 'Sales (Итоги оценки)'!$C$4, "")</f>
        <v/>
      </c>
      <c r="H146" s="249" t="str">
        <f t="shared" si="5"/>
        <v/>
      </c>
      <c r="I146" s="251">
        <f>IF(OR(ISBLANK('Оценка'!F145), ISBLANK('Оценка'!G145)), "", 
(AVERAGE(
  (
    ('Оценка'!F145 + 4*AVERAGE('Оценка'!F145:G145) + 'Оценка'!G145)/6 - 
    2*(('Оценка'!G145 - 'Оценка'!F145)/6)
  )/5 , 
  (
    ('Оценка'!F145 + 4*AVERAGE('Оценка'!F145:G145) + 'Оценка'!G145)/6 + 
    2*(('Оценка'!G145 - 'Оценка'!F145)/6)
  )/5
) * 
(
  (
    ('PM (Расчеты)'!$C$22/8 + 'PM (Расчеты)'!$C$23/40) + 
    'PM (Расчеты)'!$C$21/100 + 'PM (Расчеты)'!$C$25/100 + 
    'PM (Расчеты)'!$C$26/100
  ) + 1
)))
 * 8 * 60 * 60
</f>
        <v>0</v>
      </c>
      <c r="J146" s="252" t="str">
        <f>'Оценка'!B149</f>
        <v/>
      </c>
      <c r="K146" s="253" t="str">
        <f t="shared" si="6"/>
        <v/>
      </c>
      <c r="L146" s="253" t="str">
        <f t="shared" si="7"/>
        <v/>
      </c>
    </row>
    <row r="147">
      <c r="A147" s="247" t="str">
        <f>'Оценка'!C150</f>
        <v/>
      </c>
      <c r="B147" s="247" t="str">
        <f>'Оценка'!D150</f>
        <v/>
      </c>
      <c r="C147" s="249" t="str">
        <f t="shared" si="1"/>
        <v/>
      </c>
      <c r="D147" s="249" t="str">
        <f t="shared" si="2"/>
        <v/>
      </c>
      <c r="E147" s="249" t="str">
        <f t="shared" si="3"/>
        <v/>
      </c>
      <c r="F147" s="158" t="str">
        <f t="shared" si="4"/>
        <v/>
      </c>
      <c r="G147" s="247" t="str">
        <f>IF(A147&lt;&gt;"", 'Sales (Итоги оценки)'!$C$4, "")</f>
        <v/>
      </c>
      <c r="H147" s="249" t="str">
        <f t="shared" si="5"/>
        <v/>
      </c>
      <c r="I147" s="251">
        <f>IF(OR(ISBLANK('Оценка'!F146), ISBLANK('Оценка'!G146)), "", 
(AVERAGE(
  (
    ('Оценка'!F146 + 4*AVERAGE('Оценка'!F146:G146) + 'Оценка'!G146)/6 - 
    2*(('Оценка'!G146 - 'Оценка'!F146)/6)
  )/5 , 
  (
    ('Оценка'!F146 + 4*AVERAGE('Оценка'!F146:G146) + 'Оценка'!G146)/6 + 
    2*(('Оценка'!G146 - 'Оценка'!F146)/6)
  )/5
) * 
(
  (
    ('PM (Расчеты)'!$C$22/8 + 'PM (Расчеты)'!$C$23/40) + 
    'PM (Расчеты)'!$C$21/100 + 'PM (Расчеты)'!$C$25/100 + 
    'PM (Расчеты)'!$C$26/100
  ) + 1
)))
 * 8 * 60 * 60
</f>
        <v>0</v>
      </c>
      <c r="J147" s="252" t="str">
        <f>'Оценка'!B150</f>
        <v/>
      </c>
      <c r="K147" s="253" t="str">
        <f t="shared" si="6"/>
        <v/>
      </c>
      <c r="L147" s="253" t="str">
        <f t="shared" si="7"/>
        <v/>
      </c>
    </row>
    <row r="148">
      <c r="A148" s="247" t="str">
        <f>'Оценка'!C151</f>
        <v/>
      </c>
      <c r="B148" s="247" t="str">
        <f>'Оценка'!D151</f>
        <v/>
      </c>
      <c r="C148" s="249" t="str">
        <f t="shared" si="1"/>
        <v/>
      </c>
      <c r="D148" s="249" t="str">
        <f t="shared" si="2"/>
        <v/>
      </c>
      <c r="E148" s="249" t="str">
        <f t="shared" si="3"/>
        <v/>
      </c>
      <c r="F148" s="158" t="str">
        <f t="shared" si="4"/>
        <v/>
      </c>
      <c r="G148" s="247" t="str">
        <f>IF(A148&lt;&gt;"", 'Sales (Итоги оценки)'!$C$4, "")</f>
        <v/>
      </c>
      <c r="H148" s="249" t="str">
        <f t="shared" si="5"/>
        <v/>
      </c>
      <c r="I148" s="251">
        <f>IF(OR(ISBLANK('Оценка'!F147), ISBLANK('Оценка'!G147)), "", 
(AVERAGE(
  (
    ('Оценка'!F147 + 4*AVERAGE('Оценка'!F147:G147) + 'Оценка'!G147)/6 - 
    2*(('Оценка'!G147 - 'Оценка'!F147)/6)
  )/5 , 
  (
    ('Оценка'!F147 + 4*AVERAGE('Оценка'!F147:G147) + 'Оценка'!G147)/6 + 
    2*(('Оценка'!G147 - 'Оценка'!F147)/6)
  )/5
) * 
(
  (
    ('PM (Расчеты)'!$C$22/8 + 'PM (Расчеты)'!$C$23/40) + 
    'PM (Расчеты)'!$C$21/100 + 'PM (Расчеты)'!$C$25/100 + 
    'PM (Расчеты)'!$C$26/100
  ) + 1
)))
 * 8 * 60 * 60
</f>
        <v>0</v>
      </c>
      <c r="J148" s="252" t="str">
        <f>'Оценка'!B151</f>
        <v/>
      </c>
      <c r="K148" s="253" t="str">
        <f t="shared" si="6"/>
        <v/>
      </c>
      <c r="L148" s="253" t="str">
        <f t="shared" si="7"/>
        <v/>
      </c>
    </row>
    <row r="149">
      <c r="A149" s="247" t="str">
        <f>'Оценка'!C152</f>
        <v/>
      </c>
      <c r="B149" s="247" t="str">
        <f>'Оценка'!D152</f>
        <v/>
      </c>
      <c r="C149" s="249" t="str">
        <f t="shared" si="1"/>
        <v/>
      </c>
      <c r="D149" s="249" t="str">
        <f t="shared" si="2"/>
        <v/>
      </c>
      <c r="E149" s="249" t="str">
        <f t="shared" si="3"/>
        <v/>
      </c>
      <c r="F149" s="158" t="str">
        <f t="shared" si="4"/>
        <v/>
      </c>
      <c r="G149" s="247" t="str">
        <f>IF(A149&lt;&gt;"", 'Sales (Итоги оценки)'!$C$4, "")</f>
        <v/>
      </c>
      <c r="H149" s="249" t="str">
        <f t="shared" si="5"/>
        <v/>
      </c>
      <c r="I149" s="251">
        <f>IF(OR(ISBLANK('Оценка'!F148), ISBLANK('Оценка'!G148)), "", 
(AVERAGE(
  (
    ('Оценка'!F148 + 4*AVERAGE('Оценка'!F148:G148) + 'Оценка'!G148)/6 - 
    2*(('Оценка'!G148 - 'Оценка'!F148)/6)
  )/5 , 
  (
    ('Оценка'!F148 + 4*AVERAGE('Оценка'!F148:G148) + 'Оценка'!G148)/6 + 
    2*(('Оценка'!G148 - 'Оценка'!F148)/6)
  )/5
) * 
(
  (
    ('PM (Расчеты)'!$C$22/8 + 'PM (Расчеты)'!$C$23/40) + 
    'PM (Расчеты)'!$C$21/100 + 'PM (Расчеты)'!$C$25/100 + 
    'PM (Расчеты)'!$C$26/100
  ) + 1
)))
 * 8 * 60 * 60
</f>
        <v>0</v>
      </c>
      <c r="J149" s="252" t="str">
        <f>'Оценка'!B152</f>
        <v/>
      </c>
      <c r="K149" s="253" t="str">
        <f t="shared" si="6"/>
        <v/>
      </c>
      <c r="L149" s="253" t="str">
        <f t="shared" si="7"/>
        <v/>
      </c>
    </row>
    <row r="150">
      <c r="A150" s="247" t="str">
        <f>'Оценка'!C153</f>
        <v/>
      </c>
      <c r="B150" s="247" t="str">
        <f>'Оценка'!D153</f>
        <v/>
      </c>
      <c r="C150" s="249" t="str">
        <f t="shared" si="1"/>
        <v/>
      </c>
      <c r="D150" s="249" t="str">
        <f t="shared" si="2"/>
        <v/>
      </c>
      <c r="E150" s="249" t="str">
        <f t="shared" si="3"/>
        <v/>
      </c>
      <c r="F150" s="158" t="str">
        <f t="shared" si="4"/>
        <v/>
      </c>
      <c r="G150" s="247" t="str">
        <f>IF(A150&lt;&gt;"", 'Sales (Итоги оценки)'!$C$4, "")</f>
        <v/>
      </c>
      <c r="H150" s="249" t="str">
        <f t="shared" si="5"/>
        <v/>
      </c>
      <c r="I150" s="251">
        <f>IF(OR(ISBLANK('Оценка'!F149), ISBLANK('Оценка'!G149)), "", 
(AVERAGE(
  (
    ('Оценка'!F149 + 4*AVERAGE('Оценка'!F149:G149) + 'Оценка'!G149)/6 - 
    2*(('Оценка'!G149 - 'Оценка'!F149)/6)
  )/5 , 
  (
    ('Оценка'!F149 + 4*AVERAGE('Оценка'!F149:G149) + 'Оценка'!G149)/6 + 
    2*(('Оценка'!G149 - 'Оценка'!F149)/6)
  )/5
) * 
(
  (
    ('PM (Расчеты)'!$C$22/8 + 'PM (Расчеты)'!$C$23/40) + 
    'PM (Расчеты)'!$C$21/100 + 'PM (Расчеты)'!$C$25/100 + 
    'PM (Расчеты)'!$C$26/100
  ) + 1
)))
 * 8 * 60 * 60
</f>
        <v>0</v>
      </c>
      <c r="J150" s="252" t="str">
        <f>'Оценка'!B153</f>
        <v/>
      </c>
      <c r="K150" s="253" t="str">
        <f t="shared" si="6"/>
        <v/>
      </c>
      <c r="L150" s="253" t="str">
        <f t="shared" si="7"/>
        <v/>
      </c>
    </row>
    <row r="151">
      <c r="A151" s="247" t="str">
        <f>'Оценка'!C154</f>
        <v/>
      </c>
      <c r="B151" s="247" t="str">
        <f>'Оценка'!D154</f>
        <v/>
      </c>
      <c r="C151" s="249" t="str">
        <f t="shared" si="1"/>
        <v/>
      </c>
      <c r="D151" s="249" t="str">
        <f t="shared" si="2"/>
        <v/>
      </c>
      <c r="E151" s="249" t="str">
        <f t="shared" si="3"/>
        <v/>
      </c>
      <c r="F151" s="158" t="str">
        <f t="shared" si="4"/>
        <v/>
      </c>
      <c r="G151" s="247" t="str">
        <f>IF(A151&lt;&gt;"", 'Sales (Итоги оценки)'!$C$4, "")</f>
        <v/>
      </c>
      <c r="H151" s="249" t="str">
        <f t="shared" si="5"/>
        <v/>
      </c>
      <c r="I151" s="251">
        <f>IF(OR(ISBLANK('Оценка'!F150), ISBLANK('Оценка'!G150)), "", 
(AVERAGE(
  (
    ('Оценка'!F150 + 4*AVERAGE('Оценка'!F150:G150) + 'Оценка'!G150)/6 - 
    2*(('Оценка'!G150 - 'Оценка'!F150)/6)
  )/5 , 
  (
    ('Оценка'!F150 + 4*AVERAGE('Оценка'!F150:G150) + 'Оценка'!G150)/6 + 
    2*(('Оценка'!G150 - 'Оценка'!F150)/6)
  )/5
) * 
(
  (
    ('PM (Расчеты)'!$C$22/8 + 'PM (Расчеты)'!$C$23/40) + 
    'PM (Расчеты)'!$C$21/100 + 'PM (Расчеты)'!$C$25/100 + 
    'PM (Расчеты)'!$C$26/100
  ) + 1
)))
 * 8 * 60 * 60
</f>
        <v>0</v>
      </c>
      <c r="J151" s="252" t="str">
        <f>'Оценка'!B154</f>
        <v/>
      </c>
      <c r="K151" s="253" t="str">
        <f t="shared" si="6"/>
        <v/>
      </c>
      <c r="L151" s="253" t="str">
        <f t="shared" si="7"/>
        <v/>
      </c>
    </row>
    <row r="152">
      <c r="A152" s="247" t="str">
        <f>'Оценка'!C155</f>
        <v/>
      </c>
      <c r="B152" s="247" t="str">
        <f>'Оценка'!D155</f>
        <v/>
      </c>
      <c r="C152" s="249" t="str">
        <f t="shared" si="1"/>
        <v/>
      </c>
      <c r="D152" s="249" t="str">
        <f t="shared" si="2"/>
        <v/>
      </c>
      <c r="E152" s="249" t="str">
        <f t="shared" si="3"/>
        <v/>
      </c>
      <c r="F152" s="158" t="str">
        <f t="shared" si="4"/>
        <v/>
      </c>
      <c r="G152" s="247" t="str">
        <f>IF(A152&lt;&gt;"", 'Sales (Итоги оценки)'!$C$4, "")</f>
        <v/>
      </c>
      <c r="H152" s="249" t="str">
        <f t="shared" si="5"/>
        <v/>
      </c>
      <c r="I152" s="251">
        <f>IF(OR(ISBLANK('Оценка'!F151), ISBLANK('Оценка'!G151)), "", 
(AVERAGE(
  (
    ('Оценка'!F151 + 4*AVERAGE('Оценка'!F151:G151) + 'Оценка'!G151)/6 - 
    2*(('Оценка'!G151 - 'Оценка'!F151)/6)
  )/5 , 
  (
    ('Оценка'!F151 + 4*AVERAGE('Оценка'!F151:G151) + 'Оценка'!G151)/6 + 
    2*(('Оценка'!G151 - 'Оценка'!F151)/6)
  )/5
) * 
(
  (
    ('PM (Расчеты)'!$C$22/8 + 'PM (Расчеты)'!$C$23/40) + 
    'PM (Расчеты)'!$C$21/100 + 'PM (Расчеты)'!$C$25/100 + 
    'PM (Расчеты)'!$C$26/100
  ) + 1
)))
 * 8 * 60 * 60
</f>
        <v>0</v>
      </c>
      <c r="J152" s="252" t="str">
        <f>'Оценка'!B155</f>
        <v/>
      </c>
      <c r="K152" s="253" t="str">
        <f t="shared" si="6"/>
        <v/>
      </c>
      <c r="L152" s="253" t="str">
        <f t="shared" si="7"/>
        <v/>
      </c>
    </row>
    <row r="153">
      <c r="A153" s="247" t="str">
        <f>'Оценка'!C156</f>
        <v/>
      </c>
      <c r="B153" s="247" t="str">
        <f>'Оценка'!D156</f>
        <v/>
      </c>
      <c r="C153" s="249" t="str">
        <f t="shared" si="1"/>
        <v/>
      </c>
      <c r="D153" s="249" t="str">
        <f t="shared" si="2"/>
        <v/>
      </c>
      <c r="E153" s="249" t="str">
        <f t="shared" si="3"/>
        <v/>
      </c>
      <c r="F153" s="158" t="str">
        <f t="shared" si="4"/>
        <v/>
      </c>
      <c r="G153" s="247" t="str">
        <f>IF(A153&lt;&gt;"", 'Sales (Итоги оценки)'!$C$4, "")</f>
        <v/>
      </c>
      <c r="H153" s="249" t="str">
        <f t="shared" si="5"/>
        <v/>
      </c>
      <c r="I153" s="251">
        <f>IF(OR(ISBLANK('Оценка'!F152), ISBLANK('Оценка'!G152)), "", 
(AVERAGE(
  (
    ('Оценка'!F152 + 4*AVERAGE('Оценка'!F152:G152) + 'Оценка'!G152)/6 - 
    2*(('Оценка'!G152 - 'Оценка'!F152)/6)
  )/5 , 
  (
    ('Оценка'!F152 + 4*AVERAGE('Оценка'!F152:G152) + 'Оценка'!G152)/6 + 
    2*(('Оценка'!G152 - 'Оценка'!F152)/6)
  )/5
) * 
(
  (
    ('PM (Расчеты)'!$C$22/8 + 'PM (Расчеты)'!$C$23/40) + 
    'PM (Расчеты)'!$C$21/100 + 'PM (Расчеты)'!$C$25/100 + 
    'PM (Расчеты)'!$C$26/100
  ) + 1
)))
 * 8 * 60 * 60
</f>
        <v>0</v>
      </c>
      <c r="J153" s="252" t="str">
        <f>'Оценка'!B156</f>
        <v/>
      </c>
      <c r="K153" s="253" t="str">
        <f t="shared" si="6"/>
        <v/>
      </c>
      <c r="L153" s="253" t="str">
        <f t="shared" si="7"/>
        <v/>
      </c>
    </row>
    <row r="154">
      <c r="A154" s="247" t="str">
        <f>'Оценка'!C157</f>
        <v/>
      </c>
      <c r="B154" s="247" t="str">
        <f>'Оценка'!D157</f>
        <v/>
      </c>
      <c r="C154" s="249" t="str">
        <f t="shared" si="1"/>
        <v/>
      </c>
      <c r="D154" s="249" t="str">
        <f t="shared" si="2"/>
        <v/>
      </c>
      <c r="E154" s="249" t="str">
        <f t="shared" si="3"/>
        <v/>
      </c>
      <c r="F154" s="158" t="str">
        <f t="shared" si="4"/>
        <v/>
      </c>
      <c r="G154" s="247" t="str">
        <f>IF(A154&lt;&gt;"", 'Sales (Итоги оценки)'!$C$4, "")</f>
        <v/>
      </c>
      <c r="H154" s="249" t="str">
        <f t="shared" si="5"/>
        <v/>
      </c>
      <c r="I154" s="251">
        <f>IF(OR(ISBLANK('Оценка'!F153), ISBLANK('Оценка'!G153)), "", 
(AVERAGE(
  (
    ('Оценка'!F153 + 4*AVERAGE('Оценка'!F153:G153) + 'Оценка'!G153)/6 - 
    2*(('Оценка'!G153 - 'Оценка'!F153)/6)
  )/5 , 
  (
    ('Оценка'!F153 + 4*AVERAGE('Оценка'!F153:G153) + 'Оценка'!G153)/6 + 
    2*(('Оценка'!G153 - 'Оценка'!F153)/6)
  )/5
) * 
(
  (
    ('PM (Расчеты)'!$C$22/8 + 'PM (Расчеты)'!$C$23/40) + 
    'PM (Расчеты)'!$C$21/100 + 'PM (Расчеты)'!$C$25/100 + 
    'PM (Расчеты)'!$C$26/100
  ) + 1
)))
 * 8 * 60 * 60
</f>
        <v>0</v>
      </c>
      <c r="J154" s="252" t="str">
        <f>'Оценка'!B157</f>
        <v/>
      </c>
      <c r="K154" s="253" t="str">
        <f t="shared" si="6"/>
        <v/>
      </c>
      <c r="L154" s="253" t="str">
        <f t="shared" si="7"/>
        <v/>
      </c>
    </row>
    <row r="155">
      <c r="A155" s="247" t="str">
        <f>'Оценка'!C158</f>
        <v/>
      </c>
      <c r="B155" s="247" t="str">
        <f>'Оценка'!D158</f>
        <v/>
      </c>
      <c r="C155" s="249" t="str">
        <f t="shared" si="1"/>
        <v/>
      </c>
      <c r="D155" s="249" t="str">
        <f t="shared" si="2"/>
        <v/>
      </c>
      <c r="E155" s="249" t="str">
        <f t="shared" si="3"/>
        <v/>
      </c>
      <c r="F155" s="158" t="str">
        <f t="shared" si="4"/>
        <v/>
      </c>
      <c r="G155" s="247" t="str">
        <f>IF(A155&lt;&gt;"", 'Sales (Итоги оценки)'!$C$4, "")</f>
        <v/>
      </c>
      <c r="H155" s="249" t="str">
        <f t="shared" si="5"/>
        <v/>
      </c>
      <c r="I155" s="251">
        <f>IF(OR(ISBLANK('Оценка'!F154), ISBLANK('Оценка'!G154)), "", 
(AVERAGE(
  (
    ('Оценка'!F154 + 4*AVERAGE('Оценка'!F154:G154) + 'Оценка'!G154)/6 - 
    2*(('Оценка'!G154 - 'Оценка'!F154)/6)
  )/5 , 
  (
    ('Оценка'!F154 + 4*AVERAGE('Оценка'!F154:G154) + 'Оценка'!G154)/6 + 
    2*(('Оценка'!G154 - 'Оценка'!F154)/6)
  )/5
) * 
(
  (
    ('PM (Расчеты)'!$C$22/8 + 'PM (Расчеты)'!$C$23/40) + 
    'PM (Расчеты)'!$C$21/100 + 'PM (Расчеты)'!$C$25/100 + 
    'PM (Расчеты)'!$C$26/100
  ) + 1
)))
 * 8 * 60 * 60
</f>
        <v>0</v>
      </c>
      <c r="J155" s="252" t="str">
        <f>'Оценка'!B158</f>
        <v/>
      </c>
      <c r="K155" s="253" t="str">
        <f t="shared" si="6"/>
        <v/>
      </c>
      <c r="L155" s="253" t="str">
        <f t="shared" si="7"/>
        <v/>
      </c>
    </row>
    <row r="156">
      <c r="A156" s="247" t="str">
        <f>'Оценка'!C159</f>
        <v/>
      </c>
      <c r="B156" s="247" t="str">
        <f>'Оценка'!D159</f>
        <v/>
      </c>
      <c r="C156" s="249" t="str">
        <f t="shared" si="1"/>
        <v/>
      </c>
      <c r="D156" s="249" t="str">
        <f t="shared" si="2"/>
        <v/>
      </c>
      <c r="E156" s="249" t="str">
        <f t="shared" si="3"/>
        <v/>
      </c>
      <c r="F156" s="158" t="str">
        <f t="shared" si="4"/>
        <v/>
      </c>
      <c r="G156" s="247" t="str">
        <f>IF(A156&lt;&gt;"", 'Sales (Итоги оценки)'!$C$4, "")</f>
        <v/>
      </c>
      <c r="H156" s="249" t="str">
        <f t="shared" si="5"/>
        <v/>
      </c>
      <c r="I156" s="251">
        <f>IF(OR(ISBLANK('Оценка'!F155), ISBLANK('Оценка'!G155)), "", 
(AVERAGE(
  (
    ('Оценка'!F155 + 4*AVERAGE('Оценка'!F155:G155) + 'Оценка'!G155)/6 - 
    2*(('Оценка'!G155 - 'Оценка'!F155)/6)
  )/5 , 
  (
    ('Оценка'!F155 + 4*AVERAGE('Оценка'!F155:G155) + 'Оценка'!G155)/6 + 
    2*(('Оценка'!G155 - 'Оценка'!F155)/6)
  )/5
) * 
(
  (
    ('PM (Расчеты)'!$C$22/8 + 'PM (Расчеты)'!$C$23/40) + 
    'PM (Расчеты)'!$C$21/100 + 'PM (Расчеты)'!$C$25/100 + 
    'PM (Расчеты)'!$C$26/100
  ) + 1
)))
 * 8 * 60 * 60
</f>
        <v>0</v>
      </c>
      <c r="J156" s="252" t="str">
        <f>'Оценка'!B159</f>
        <v/>
      </c>
      <c r="K156" s="253" t="str">
        <f t="shared" si="6"/>
        <v/>
      </c>
      <c r="L156" s="253" t="str">
        <f t="shared" si="7"/>
        <v/>
      </c>
    </row>
    <row r="157">
      <c r="A157" s="247" t="str">
        <f>'Оценка'!C160</f>
        <v/>
      </c>
      <c r="B157" s="247" t="str">
        <f>'Оценка'!D160</f>
        <v/>
      </c>
      <c r="C157" s="249" t="str">
        <f t="shared" si="1"/>
        <v/>
      </c>
      <c r="D157" s="249" t="str">
        <f t="shared" si="2"/>
        <v/>
      </c>
      <c r="E157" s="249" t="str">
        <f t="shared" si="3"/>
        <v/>
      </c>
      <c r="F157" s="158" t="str">
        <f t="shared" si="4"/>
        <v/>
      </c>
      <c r="G157" s="247" t="str">
        <f>IF(A157&lt;&gt;"", 'Sales (Итоги оценки)'!$C$4, "")</f>
        <v/>
      </c>
      <c r="H157" s="249" t="str">
        <f t="shared" si="5"/>
        <v/>
      </c>
      <c r="I157" s="251">
        <f>IF(OR(ISBLANK('Оценка'!F156), ISBLANK('Оценка'!G156)), "", 
(AVERAGE(
  (
    ('Оценка'!F156 + 4*AVERAGE('Оценка'!F156:G156) + 'Оценка'!G156)/6 - 
    2*(('Оценка'!G156 - 'Оценка'!F156)/6)
  )/5 , 
  (
    ('Оценка'!F156 + 4*AVERAGE('Оценка'!F156:G156) + 'Оценка'!G156)/6 + 
    2*(('Оценка'!G156 - 'Оценка'!F156)/6)
  )/5
) * 
(
  (
    ('PM (Расчеты)'!$C$22/8 + 'PM (Расчеты)'!$C$23/40) + 
    'PM (Расчеты)'!$C$21/100 + 'PM (Расчеты)'!$C$25/100 + 
    'PM (Расчеты)'!$C$26/100
  ) + 1
)))
 * 8 * 60 * 60
</f>
        <v>0</v>
      </c>
      <c r="J157" s="252" t="str">
        <f>'Оценка'!B160</f>
        <v/>
      </c>
      <c r="K157" s="253" t="str">
        <f t="shared" si="6"/>
        <v/>
      </c>
      <c r="L157" s="253" t="str">
        <f t="shared" si="7"/>
        <v/>
      </c>
    </row>
    <row r="158">
      <c r="A158" s="247" t="str">
        <f>'Оценка'!C161</f>
        <v/>
      </c>
      <c r="B158" s="247" t="str">
        <f>'Оценка'!D161</f>
        <v/>
      </c>
      <c r="C158" s="249" t="str">
        <f t="shared" si="1"/>
        <v/>
      </c>
      <c r="D158" s="249" t="str">
        <f t="shared" si="2"/>
        <v/>
      </c>
      <c r="E158" s="249" t="str">
        <f t="shared" si="3"/>
        <v/>
      </c>
      <c r="F158" s="158" t="str">
        <f t="shared" si="4"/>
        <v/>
      </c>
      <c r="G158" s="247" t="str">
        <f>IF(A158&lt;&gt;"", 'Sales (Итоги оценки)'!$C$4, "")</f>
        <v/>
      </c>
      <c r="H158" s="249" t="str">
        <f t="shared" si="5"/>
        <v/>
      </c>
      <c r="I158" s="251">
        <f>IF(OR(ISBLANK('Оценка'!F157), ISBLANK('Оценка'!G157)), "", 
(AVERAGE(
  (
    ('Оценка'!F157 + 4*AVERAGE('Оценка'!F157:G157) + 'Оценка'!G157)/6 - 
    2*(('Оценка'!G157 - 'Оценка'!F157)/6)
  )/5 , 
  (
    ('Оценка'!F157 + 4*AVERAGE('Оценка'!F157:G157) + 'Оценка'!G157)/6 + 
    2*(('Оценка'!G157 - 'Оценка'!F157)/6)
  )/5
) * 
(
  (
    ('PM (Расчеты)'!$C$22/8 + 'PM (Расчеты)'!$C$23/40) + 
    'PM (Расчеты)'!$C$21/100 + 'PM (Расчеты)'!$C$25/100 + 
    'PM (Расчеты)'!$C$26/100
  ) + 1
)))
 * 8 * 60 * 60
</f>
        <v>0</v>
      </c>
      <c r="J158" s="252" t="str">
        <f>'Оценка'!B161</f>
        <v/>
      </c>
      <c r="K158" s="253" t="str">
        <f t="shared" si="6"/>
        <v/>
      </c>
      <c r="L158" s="253" t="str">
        <f t="shared" si="7"/>
        <v/>
      </c>
    </row>
    <row r="159">
      <c r="A159" s="247" t="str">
        <f>'Оценка'!C162</f>
        <v/>
      </c>
      <c r="B159" s="247" t="str">
        <f>'Оценка'!D162</f>
        <v/>
      </c>
      <c r="C159" s="249" t="str">
        <f t="shared" si="1"/>
        <v/>
      </c>
      <c r="D159" s="249" t="str">
        <f t="shared" si="2"/>
        <v/>
      </c>
      <c r="E159" s="249" t="str">
        <f t="shared" si="3"/>
        <v/>
      </c>
      <c r="F159" s="158" t="str">
        <f t="shared" si="4"/>
        <v/>
      </c>
      <c r="G159" s="247" t="str">
        <f>IF(A159&lt;&gt;"", 'Sales (Итоги оценки)'!$C$4, "")</f>
        <v/>
      </c>
      <c r="H159" s="249" t="str">
        <f t="shared" si="5"/>
        <v/>
      </c>
      <c r="I159" s="251">
        <f>IF(OR(ISBLANK('Оценка'!F158), ISBLANK('Оценка'!G158)), "", 
(AVERAGE(
  (
    ('Оценка'!F158 + 4*AVERAGE('Оценка'!F158:G158) + 'Оценка'!G158)/6 - 
    2*(('Оценка'!G158 - 'Оценка'!F158)/6)
  )/5 , 
  (
    ('Оценка'!F158 + 4*AVERAGE('Оценка'!F158:G158) + 'Оценка'!G158)/6 + 
    2*(('Оценка'!G158 - 'Оценка'!F158)/6)
  )/5
) * 
(
  (
    ('PM (Расчеты)'!$C$22/8 + 'PM (Расчеты)'!$C$23/40) + 
    'PM (Расчеты)'!$C$21/100 + 'PM (Расчеты)'!$C$25/100 + 
    'PM (Расчеты)'!$C$26/100
  ) + 1
)))
 * 8 * 60 * 60
</f>
        <v>0</v>
      </c>
      <c r="J159" s="252" t="str">
        <f>'Оценка'!B162</f>
        <v/>
      </c>
      <c r="K159" s="253" t="str">
        <f t="shared" si="6"/>
        <v/>
      </c>
      <c r="L159" s="253" t="str">
        <f t="shared" si="7"/>
        <v/>
      </c>
    </row>
    <row r="160">
      <c r="A160" s="247" t="str">
        <f>'Оценка'!C163</f>
        <v/>
      </c>
      <c r="B160" s="247" t="str">
        <f>'Оценка'!D163</f>
        <v/>
      </c>
      <c r="C160" s="249" t="str">
        <f t="shared" si="1"/>
        <v/>
      </c>
      <c r="D160" s="249" t="str">
        <f t="shared" si="2"/>
        <v/>
      </c>
      <c r="E160" s="249" t="str">
        <f t="shared" si="3"/>
        <v/>
      </c>
      <c r="F160" s="158" t="str">
        <f t="shared" si="4"/>
        <v/>
      </c>
      <c r="G160" s="247" t="str">
        <f>IF(A160&lt;&gt;"", 'Sales (Итоги оценки)'!$C$4, "")</f>
        <v/>
      </c>
      <c r="H160" s="249" t="str">
        <f t="shared" si="5"/>
        <v/>
      </c>
      <c r="I160" s="251">
        <f>IF(OR(ISBLANK('Оценка'!F159), ISBLANK('Оценка'!G159)), "", 
(AVERAGE(
  (
    ('Оценка'!F159 + 4*AVERAGE('Оценка'!F159:G159) + 'Оценка'!G159)/6 - 
    2*(('Оценка'!G159 - 'Оценка'!F159)/6)
  )/5 , 
  (
    ('Оценка'!F159 + 4*AVERAGE('Оценка'!F159:G159) + 'Оценка'!G159)/6 + 
    2*(('Оценка'!G159 - 'Оценка'!F159)/6)
  )/5
) * 
(
  (
    ('PM (Расчеты)'!$C$22/8 + 'PM (Расчеты)'!$C$23/40) + 
    'PM (Расчеты)'!$C$21/100 + 'PM (Расчеты)'!$C$25/100 + 
    'PM (Расчеты)'!$C$26/100
  ) + 1
)))
 * 8 * 60 * 60
</f>
        <v>0</v>
      </c>
      <c r="J160" s="252" t="str">
        <f>'Оценка'!B163</f>
        <v/>
      </c>
      <c r="K160" s="253" t="str">
        <f t="shared" si="6"/>
        <v/>
      </c>
      <c r="L160" s="253" t="str">
        <f t="shared" si="7"/>
        <v/>
      </c>
    </row>
    <row r="161">
      <c r="A161" s="247" t="str">
        <f>'Оценка'!C164</f>
        <v/>
      </c>
      <c r="B161" s="247" t="str">
        <f>'Оценка'!D164</f>
        <v/>
      </c>
      <c r="C161" s="249" t="str">
        <f t="shared" si="1"/>
        <v/>
      </c>
      <c r="D161" s="249" t="str">
        <f t="shared" si="2"/>
        <v/>
      </c>
      <c r="E161" s="249" t="str">
        <f t="shared" si="3"/>
        <v/>
      </c>
      <c r="F161" s="158" t="str">
        <f t="shared" si="4"/>
        <v/>
      </c>
      <c r="G161" s="247" t="str">
        <f>IF(A161&lt;&gt;"", 'Sales (Итоги оценки)'!$C$4, "")</f>
        <v/>
      </c>
      <c r="H161" s="249" t="str">
        <f t="shared" si="5"/>
        <v/>
      </c>
      <c r="I161" s="251">
        <f>IF(OR(ISBLANK('Оценка'!F160), ISBLANK('Оценка'!G160)), "", 
(AVERAGE(
  (
    ('Оценка'!F160 + 4*AVERAGE('Оценка'!F160:G160) + 'Оценка'!G160)/6 - 
    2*(('Оценка'!G160 - 'Оценка'!F160)/6)
  )/5 , 
  (
    ('Оценка'!F160 + 4*AVERAGE('Оценка'!F160:G160) + 'Оценка'!G160)/6 + 
    2*(('Оценка'!G160 - 'Оценка'!F160)/6)
  )/5
) * 
(
  (
    ('PM (Расчеты)'!$C$22/8 + 'PM (Расчеты)'!$C$23/40) + 
    'PM (Расчеты)'!$C$21/100 + 'PM (Расчеты)'!$C$25/100 + 
    'PM (Расчеты)'!$C$26/100
  ) + 1
)))
 * 8 * 60 * 60
</f>
        <v>0</v>
      </c>
      <c r="J161" s="252" t="str">
        <f>'Оценка'!B164</f>
        <v/>
      </c>
      <c r="K161" s="253" t="str">
        <f t="shared" si="6"/>
        <v/>
      </c>
      <c r="L161" s="253" t="str">
        <f t="shared" si="7"/>
        <v/>
      </c>
    </row>
    <row r="162">
      <c r="A162" s="247" t="str">
        <f>'Оценка'!C165</f>
        <v/>
      </c>
      <c r="B162" s="247" t="str">
        <f>'Оценка'!D165</f>
        <v/>
      </c>
      <c r="C162" s="249" t="str">
        <f t="shared" si="1"/>
        <v/>
      </c>
      <c r="D162" s="249" t="str">
        <f t="shared" si="2"/>
        <v/>
      </c>
      <c r="E162" s="249" t="str">
        <f t="shared" si="3"/>
        <v/>
      </c>
      <c r="F162" s="158" t="str">
        <f t="shared" si="4"/>
        <v/>
      </c>
      <c r="G162" s="247" t="str">
        <f>IF(A162&lt;&gt;"", 'Sales (Итоги оценки)'!$C$4, "")</f>
        <v/>
      </c>
      <c r="H162" s="249" t="str">
        <f t="shared" si="5"/>
        <v/>
      </c>
      <c r="I162" s="251">
        <f>IF(OR(ISBLANK('Оценка'!F161), ISBLANK('Оценка'!G161)), "", 
(AVERAGE(
  (
    ('Оценка'!F161 + 4*AVERAGE('Оценка'!F161:G161) + 'Оценка'!G161)/6 - 
    2*(('Оценка'!G161 - 'Оценка'!F161)/6)
  )/5 , 
  (
    ('Оценка'!F161 + 4*AVERAGE('Оценка'!F161:G161) + 'Оценка'!G161)/6 + 
    2*(('Оценка'!G161 - 'Оценка'!F161)/6)
  )/5
) * 
(
  (
    ('PM (Расчеты)'!$C$22/8 + 'PM (Расчеты)'!$C$23/40) + 
    'PM (Расчеты)'!$C$21/100 + 'PM (Расчеты)'!$C$25/100 + 
    'PM (Расчеты)'!$C$26/100
  ) + 1
)))
 * 8 * 60 * 60
</f>
        <v>0</v>
      </c>
      <c r="J162" s="252" t="str">
        <f>'Оценка'!B165</f>
        <v/>
      </c>
      <c r="K162" s="253" t="str">
        <f t="shared" si="6"/>
        <v/>
      </c>
      <c r="L162" s="253" t="str">
        <f t="shared" si="7"/>
        <v/>
      </c>
    </row>
    <row r="163">
      <c r="A163" s="247" t="str">
        <f>'Оценка'!C166</f>
        <v/>
      </c>
      <c r="B163" s="247" t="str">
        <f>'Оценка'!D166</f>
        <v/>
      </c>
      <c r="C163" s="249" t="str">
        <f t="shared" si="1"/>
        <v/>
      </c>
      <c r="D163" s="249" t="str">
        <f t="shared" si="2"/>
        <v/>
      </c>
      <c r="E163" s="249" t="str">
        <f t="shared" si="3"/>
        <v/>
      </c>
      <c r="F163" s="158" t="str">
        <f t="shared" si="4"/>
        <v/>
      </c>
      <c r="G163" s="247" t="str">
        <f>IF(A163&lt;&gt;"", 'Sales (Итоги оценки)'!$C$4, "")</f>
        <v/>
      </c>
      <c r="H163" s="249" t="str">
        <f t="shared" si="5"/>
        <v/>
      </c>
      <c r="I163" s="251">
        <f>IF(OR(ISBLANK('Оценка'!F162), ISBLANK('Оценка'!G162)), "", 
(AVERAGE(
  (
    ('Оценка'!F162 + 4*AVERAGE('Оценка'!F162:G162) + 'Оценка'!G162)/6 - 
    2*(('Оценка'!G162 - 'Оценка'!F162)/6)
  )/5 , 
  (
    ('Оценка'!F162 + 4*AVERAGE('Оценка'!F162:G162) + 'Оценка'!G162)/6 + 
    2*(('Оценка'!G162 - 'Оценка'!F162)/6)
  )/5
) * 
(
  (
    ('PM (Расчеты)'!$C$22/8 + 'PM (Расчеты)'!$C$23/40) + 
    'PM (Расчеты)'!$C$21/100 + 'PM (Расчеты)'!$C$25/100 + 
    'PM (Расчеты)'!$C$26/100
  ) + 1
)))
 * 8 * 60 * 60
</f>
        <v>0</v>
      </c>
      <c r="J163" s="252" t="str">
        <f>'Оценка'!B166</f>
        <v/>
      </c>
      <c r="K163" s="253" t="str">
        <f t="shared" si="6"/>
        <v/>
      </c>
      <c r="L163" s="253" t="str">
        <f t="shared" si="7"/>
        <v/>
      </c>
    </row>
    <row r="164">
      <c r="A164" s="247" t="str">
        <f>'Оценка'!C167</f>
        <v/>
      </c>
      <c r="B164" s="247" t="str">
        <f>'Оценка'!D167</f>
        <v/>
      </c>
      <c r="C164" s="249" t="str">
        <f t="shared" si="1"/>
        <v/>
      </c>
      <c r="D164" s="249" t="str">
        <f t="shared" si="2"/>
        <v/>
      </c>
      <c r="E164" s="249" t="str">
        <f t="shared" si="3"/>
        <v/>
      </c>
      <c r="F164" s="158" t="str">
        <f t="shared" si="4"/>
        <v/>
      </c>
      <c r="G164" s="247" t="str">
        <f>IF(A164&lt;&gt;"", 'Sales (Итоги оценки)'!$C$4, "")</f>
        <v/>
      </c>
      <c r="H164" s="249" t="str">
        <f t="shared" si="5"/>
        <v/>
      </c>
      <c r="I164" s="251">
        <f>IF(OR(ISBLANK('Оценка'!F163), ISBLANK('Оценка'!G163)), "", 
(AVERAGE(
  (
    ('Оценка'!F163 + 4*AVERAGE('Оценка'!F163:G163) + 'Оценка'!G163)/6 - 
    2*(('Оценка'!G163 - 'Оценка'!F163)/6)
  )/5 , 
  (
    ('Оценка'!F163 + 4*AVERAGE('Оценка'!F163:G163) + 'Оценка'!G163)/6 + 
    2*(('Оценка'!G163 - 'Оценка'!F163)/6)
  )/5
) * 
(
  (
    ('PM (Расчеты)'!$C$22/8 + 'PM (Расчеты)'!$C$23/40) + 
    'PM (Расчеты)'!$C$21/100 + 'PM (Расчеты)'!$C$25/100 + 
    'PM (Расчеты)'!$C$26/100
  ) + 1
)))
 * 8 * 60 * 60
</f>
        <v>0</v>
      </c>
      <c r="J164" s="252" t="str">
        <f>'Оценка'!B167</f>
        <v/>
      </c>
      <c r="K164" s="253" t="str">
        <f t="shared" si="6"/>
        <v/>
      </c>
      <c r="L164" s="253" t="str">
        <f t="shared" si="7"/>
        <v/>
      </c>
    </row>
    <row r="165">
      <c r="A165" s="247" t="str">
        <f>'Оценка'!C168</f>
        <v/>
      </c>
      <c r="B165" s="247" t="str">
        <f>'Оценка'!D168</f>
        <v/>
      </c>
      <c r="C165" s="249" t="str">
        <f t="shared" si="1"/>
        <v/>
      </c>
      <c r="D165" s="249" t="str">
        <f t="shared" si="2"/>
        <v/>
      </c>
      <c r="E165" s="249" t="str">
        <f t="shared" si="3"/>
        <v/>
      </c>
      <c r="F165" s="158" t="str">
        <f t="shared" si="4"/>
        <v/>
      </c>
      <c r="G165" s="247" t="str">
        <f>IF(A165&lt;&gt;"", 'Sales (Итоги оценки)'!$C$4, "")</f>
        <v/>
      </c>
      <c r="H165" s="249" t="str">
        <f t="shared" si="5"/>
        <v/>
      </c>
      <c r="I165" s="251">
        <f>IF(OR(ISBLANK('Оценка'!F164), ISBLANK('Оценка'!G164)), "", 
(AVERAGE(
  (
    ('Оценка'!F164 + 4*AVERAGE('Оценка'!F164:G164) + 'Оценка'!G164)/6 - 
    2*(('Оценка'!G164 - 'Оценка'!F164)/6)
  )/5 , 
  (
    ('Оценка'!F164 + 4*AVERAGE('Оценка'!F164:G164) + 'Оценка'!G164)/6 + 
    2*(('Оценка'!G164 - 'Оценка'!F164)/6)
  )/5
) * 
(
  (
    ('PM (Расчеты)'!$C$22/8 + 'PM (Расчеты)'!$C$23/40) + 
    'PM (Расчеты)'!$C$21/100 + 'PM (Расчеты)'!$C$25/100 + 
    'PM (Расчеты)'!$C$26/100
  ) + 1
)))
 * 8 * 60 * 60
</f>
        <v>0</v>
      </c>
      <c r="J165" s="252" t="str">
        <f>'Оценка'!B168</f>
        <v/>
      </c>
      <c r="K165" s="253" t="str">
        <f t="shared" si="6"/>
        <v/>
      </c>
      <c r="L165" s="253" t="str">
        <f t="shared" si="7"/>
        <v/>
      </c>
    </row>
    <row r="166">
      <c r="A166" s="247" t="str">
        <f>'Оценка'!C169</f>
        <v/>
      </c>
      <c r="B166" s="247" t="str">
        <f>'Оценка'!D169</f>
        <v/>
      </c>
      <c r="C166" s="249" t="str">
        <f t="shared" si="1"/>
        <v/>
      </c>
      <c r="D166" s="249" t="str">
        <f t="shared" si="2"/>
        <v/>
      </c>
      <c r="E166" s="249" t="str">
        <f t="shared" si="3"/>
        <v/>
      </c>
      <c r="F166" s="158" t="str">
        <f t="shared" si="4"/>
        <v/>
      </c>
      <c r="G166" s="247" t="str">
        <f>IF(A166&lt;&gt;"", 'Sales (Итоги оценки)'!$C$4, "")</f>
        <v/>
      </c>
      <c r="H166" s="249" t="str">
        <f t="shared" si="5"/>
        <v/>
      </c>
      <c r="I166" s="251">
        <f>IF(OR(ISBLANK('Оценка'!F165), ISBLANK('Оценка'!G165)), "", 
(AVERAGE(
  (
    ('Оценка'!F165 + 4*AVERAGE('Оценка'!F165:G165) + 'Оценка'!G165)/6 - 
    2*(('Оценка'!G165 - 'Оценка'!F165)/6)
  )/5 , 
  (
    ('Оценка'!F165 + 4*AVERAGE('Оценка'!F165:G165) + 'Оценка'!G165)/6 + 
    2*(('Оценка'!G165 - 'Оценка'!F165)/6)
  )/5
) * 
(
  (
    ('PM (Расчеты)'!$C$22/8 + 'PM (Расчеты)'!$C$23/40) + 
    'PM (Расчеты)'!$C$21/100 + 'PM (Расчеты)'!$C$25/100 + 
    'PM (Расчеты)'!$C$26/100
  ) + 1
)))
 * 8 * 60 * 60
</f>
        <v>0</v>
      </c>
      <c r="J166" s="252" t="str">
        <f>'Оценка'!B169</f>
        <v/>
      </c>
      <c r="K166" s="253" t="str">
        <f t="shared" si="6"/>
        <v/>
      </c>
      <c r="L166" s="253" t="str">
        <f t="shared" si="7"/>
        <v/>
      </c>
    </row>
    <row r="167">
      <c r="A167" s="247" t="str">
        <f>'Оценка'!C170</f>
        <v/>
      </c>
      <c r="B167" s="247" t="str">
        <f>'Оценка'!D170</f>
        <v/>
      </c>
      <c r="C167" s="249" t="str">
        <f t="shared" si="1"/>
        <v/>
      </c>
      <c r="D167" s="249" t="str">
        <f t="shared" si="2"/>
        <v/>
      </c>
      <c r="E167" s="249" t="str">
        <f t="shared" si="3"/>
        <v/>
      </c>
      <c r="F167" s="158" t="str">
        <f t="shared" si="4"/>
        <v/>
      </c>
      <c r="G167" s="247" t="str">
        <f>IF(A167&lt;&gt;"", 'Sales (Итоги оценки)'!$C$4, "")</f>
        <v/>
      </c>
      <c r="H167" s="249" t="str">
        <f t="shared" si="5"/>
        <v/>
      </c>
      <c r="I167" s="251">
        <f>IF(OR(ISBLANK('Оценка'!F166), ISBLANK('Оценка'!G166)), "", 
(AVERAGE(
  (
    ('Оценка'!F166 + 4*AVERAGE('Оценка'!F166:G166) + 'Оценка'!G166)/6 - 
    2*(('Оценка'!G166 - 'Оценка'!F166)/6)
  )/5 , 
  (
    ('Оценка'!F166 + 4*AVERAGE('Оценка'!F166:G166) + 'Оценка'!G166)/6 + 
    2*(('Оценка'!G166 - 'Оценка'!F166)/6)
  )/5
) * 
(
  (
    ('PM (Расчеты)'!$C$22/8 + 'PM (Расчеты)'!$C$23/40) + 
    'PM (Расчеты)'!$C$21/100 + 'PM (Расчеты)'!$C$25/100 + 
    'PM (Расчеты)'!$C$26/100
  ) + 1
)))
 * 8 * 60 * 60
</f>
        <v>0</v>
      </c>
      <c r="J167" s="252" t="str">
        <f>'Оценка'!B170</f>
        <v/>
      </c>
      <c r="K167" s="253" t="str">
        <f t="shared" si="6"/>
        <v/>
      </c>
      <c r="L167" s="253" t="str">
        <f t="shared" si="7"/>
        <v/>
      </c>
    </row>
    <row r="168">
      <c r="A168" s="247" t="str">
        <f>'Оценка'!C171</f>
        <v/>
      </c>
      <c r="B168" s="247" t="str">
        <f>'Оценка'!D171</f>
        <v/>
      </c>
      <c r="C168" s="249" t="str">
        <f t="shared" si="1"/>
        <v/>
      </c>
      <c r="D168" s="249" t="str">
        <f t="shared" si="2"/>
        <v/>
      </c>
      <c r="E168" s="249" t="str">
        <f t="shared" si="3"/>
        <v/>
      </c>
      <c r="F168" s="158" t="str">
        <f t="shared" si="4"/>
        <v/>
      </c>
      <c r="G168" s="247" t="str">
        <f>IF(A168&lt;&gt;"", 'Sales (Итоги оценки)'!$C$4, "")</f>
        <v/>
      </c>
      <c r="H168" s="249" t="str">
        <f t="shared" si="5"/>
        <v/>
      </c>
      <c r="I168" s="251">
        <f>IF(OR(ISBLANK('Оценка'!F167), ISBLANK('Оценка'!G167)), "", 
(AVERAGE(
  (
    ('Оценка'!F167 + 4*AVERAGE('Оценка'!F167:G167) + 'Оценка'!G167)/6 - 
    2*(('Оценка'!G167 - 'Оценка'!F167)/6)
  )/5 , 
  (
    ('Оценка'!F167 + 4*AVERAGE('Оценка'!F167:G167) + 'Оценка'!G167)/6 + 
    2*(('Оценка'!G167 - 'Оценка'!F167)/6)
  )/5
) * 
(
  (
    ('PM (Расчеты)'!$C$22/8 + 'PM (Расчеты)'!$C$23/40) + 
    'PM (Расчеты)'!$C$21/100 + 'PM (Расчеты)'!$C$25/100 + 
    'PM (Расчеты)'!$C$26/100
  ) + 1
)))
 * 8 * 60 * 60
</f>
        <v>0</v>
      </c>
      <c r="J168" s="252" t="str">
        <f>'Оценка'!B171</f>
        <v/>
      </c>
      <c r="K168" s="253" t="str">
        <f t="shared" si="6"/>
        <v/>
      </c>
      <c r="L168" s="253" t="str">
        <f t="shared" si="7"/>
        <v/>
      </c>
    </row>
    <row r="169">
      <c r="A169" s="247" t="str">
        <f>'Оценка'!C172</f>
        <v/>
      </c>
      <c r="B169" s="247" t="str">
        <f>'Оценка'!D172</f>
        <v/>
      </c>
      <c r="C169" s="249" t="str">
        <f t="shared" si="1"/>
        <v/>
      </c>
      <c r="D169" s="249" t="str">
        <f t="shared" si="2"/>
        <v/>
      </c>
      <c r="E169" s="249" t="str">
        <f t="shared" si="3"/>
        <v/>
      </c>
      <c r="F169" s="158" t="str">
        <f t="shared" si="4"/>
        <v/>
      </c>
      <c r="G169" s="247" t="str">
        <f>IF(A169&lt;&gt;"", 'Sales (Итоги оценки)'!$C$4, "")</f>
        <v/>
      </c>
      <c r="H169" s="249" t="str">
        <f t="shared" si="5"/>
        <v/>
      </c>
      <c r="I169" s="251">
        <f>IF(OR(ISBLANK('Оценка'!F168), ISBLANK('Оценка'!G168)), "", 
(AVERAGE(
  (
    ('Оценка'!F168 + 4*AVERAGE('Оценка'!F168:G168) + 'Оценка'!G168)/6 - 
    2*(('Оценка'!G168 - 'Оценка'!F168)/6)
  )/5 , 
  (
    ('Оценка'!F168 + 4*AVERAGE('Оценка'!F168:G168) + 'Оценка'!G168)/6 + 
    2*(('Оценка'!G168 - 'Оценка'!F168)/6)
  )/5
) * 
(
  (
    ('PM (Расчеты)'!$C$22/8 + 'PM (Расчеты)'!$C$23/40) + 
    'PM (Расчеты)'!$C$21/100 + 'PM (Расчеты)'!$C$25/100 + 
    'PM (Расчеты)'!$C$26/100
  ) + 1
)))
 * 8 * 60 * 60
</f>
        <v>0</v>
      </c>
      <c r="J169" s="252" t="str">
        <f>'Оценка'!B172</f>
        <v/>
      </c>
      <c r="K169" s="253" t="str">
        <f t="shared" si="6"/>
        <v/>
      </c>
      <c r="L169" s="253" t="str">
        <f t="shared" si="7"/>
        <v/>
      </c>
    </row>
    <row r="170">
      <c r="A170" s="247" t="str">
        <f>'Оценка'!C173</f>
        <v/>
      </c>
      <c r="B170" s="247" t="str">
        <f>'Оценка'!D173</f>
        <v/>
      </c>
      <c r="C170" s="249" t="str">
        <f t="shared" si="1"/>
        <v/>
      </c>
      <c r="D170" s="249" t="str">
        <f t="shared" si="2"/>
        <v/>
      </c>
      <c r="E170" s="249" t="str">
        <f t="shared" si="3"/>
        <v/>
      </c>
      <c r="F170" s="158" t="str">
        <f t="shared" si="4"/>
        <v/>
      </c>
      <c r="G170" s="247" t="str">
        <f>IF(A170&lt;&gt;"", 'Sales (Итоги оценки)'!$C$4, "")</f>
        <v/>
      </c>
      <c r="H170" s="249" t="str">
        <f t="shared" si="5"/>
        <v/>
      </c>
      <c r="I170" s="251">
        <f>IF(OR(ISBLANK('Оценка'!F169), ISBLANK('Оценка'!G169)), "", 
(AVERAGE(
  (
    ('Оценка'!F169 + 4*AVERAGE('Оценка'!F169:G169) + 'Оценка'!G169)/6 - 
    2*(('Оценка'!G169 - 'Оценка'!F169)/6)
  )/5 , 
  (
    ('Оценка'!F169 + 4*AVERAGE('Оценка'!F169:G169) + 'Оценка'!G169)/6 + 
    2*(('Оценка'!G169 - 'Оценка'!F169)/6)
  )/5
) * 
(
  (
    ('PM (Расчеты)'!$C$22/8 + 'PM (Расчеты)'!$C$23/40) + 
    'PM (Расчеты)'!$C$21/100 + 'PM (Расчеты)'!$C$25/100 + 
    'PM (Расчеты)'!$C$26/100
  ) + 1
)))
 * 8 * 60 * 60
</f>
        <v>0</v>
      </c>
      <c r="J170" s="252" t="str">
        <f>'Оценка'!B173</f>
        <v/>
      </c>
      <c r="K170" s="253" t="str">
        <f t="shared" si="6"/>
        <v/>
      </c>
      <c r="L170" s="253" t="str">
        <f t="shared" si="7"/>
        <v/>
      </c>
    </row>
    <row r="171">
      <c r="A171" s="247" t="str">
        <f>'Оценка'!C174</f>
        <v/>
      </c>
      <c r="B171" s="247" t="str">
        <f>'Оценка'!D174</f>
        <v/>
      </c>
      <c r="C171" s="249" t="str">
        <f t="shared" si="1"/>
        <v/>
      </c>
      <c r="D171" s="249" t="str">
        <f t="shared" si="2"/>
        <v/>
      </c>
      <c r="E171" s="249" t="str">
        <f t="shared" si="3"/>
        <v/>
      </c>
      <c r="F171" s="158" t="str">
        <f t="shared" si="4"/>
        <v/>
      </c>
      <c r="G171" s="247" t="str">
        <f>IF(A171&lt;&gt;"", 'Sales (Итоги оценки)'!$C$4, "")</f>
        <v/>
      </c>
      <c r="H171" s="249" t="str">
        <f t="shared" si="5"/>
        <v/>
      </c>
      <c r="I171" s="251">
        <f>IF(OR(ISBLANK('Оценка'!F170), ISBLANK('Оценка'!G170)), "", 
(AVERAGE(
  (
    ('Оценка'!F170 + 4*AVERAGE('Оценка'!F170:G170) + 'Оценка'!G170)/6 - 
    2*(('Оценка'!G170 - 'Оценка'!F170)/6)
  )/5 , 
  (
    ('Оценка'!F170 + 4*AVERAGE('Оценка'!F170:G170) + 'Оценка'!G170)/6 + 
    2*(('Оценка'!G170 - 'Оценка'!F170)/6)
  )/5
) * 
(
  (
    ('PM (Расчеты)'!$C$22/8 + 'PM (Расчеты)'!$C$23/40) + 
    'PM (Расчеты)'!$C$21/100 + 'PM (Расчеты)'!$C$25/100 + 
    'PM (Расчеты)'!$C$26/100
  ) + 1
)))
 * 8 * 60 * 60
</f>
        <v>0</v>
      </c>
      <c r="J171" s="252" t="str">
        <f>'Оценка'!B174</f>
        <v/>
      </c>
      <c r="K171" s="253" t="str">
        <f t="shared" si="6"/>
        <v/>
      </c>
      <c r="L171" s="253" t="str">
        <f t="shared" si="7"/>
        <v/>
      </c>
    </row>
    <row r="172">
      <c r="A172" s="247" t="str">
        <f>'Оценка'!C175</f>
        <v/>
      </c>
      <c r="B172" s="247" t="str">
        <f>'Оценка'!D175</f>
        <v/>
      </c>
      <c r="C172" s="249" t="str">
        <f t="shared" si="1"/>
        <v/>
      </c>
      <c r="D172" s="249" t="str">
        <f t="shared" si="2"/>
        <v/>
      </c>
      <c r="E172" s="249" t="str">
        <f t="shared" si="3"/>
        <v/>
      </c>
      <c r="F172" s="158" t="str">
        <f t="shared" si="4"/>
        <v/>
      </c>
      <c r="G172" s="247" t="str">
        <f>IF(A172&lt;&gt;"", 'Sales (Итоги оценки)'!$C$4, "")</f>
        <v/>
      </c>
      <c r="H172" s="249" t="str">
        <f t="shared" si="5"/>
        <v/>
      </c>
      <c r="I172" s="251">
        <f>IF(OR(ISBLANK('Оценка'!F171), ISBLANK('Оценка'!G171)), "", 
(AVERAGE(
  (
    ('Оценка'!F171 + 4*AVERAGE('Оценка'!F171:G171) + 'Оценка'!G171)/6 - 
    2*(('Оценка'!G171 - 'Оценка'!F171)/6)
  )/5 , 
  (
    ('Оценка'!F171 + 4*AVERAGE('Оценка'!F171:G171) + 'Оценка'!G171)/6 + 
    2*(('Оценка'!G171 - 'Оценка'!F171)/6)
  )/5
) * 
(
  (
    ('PM (Расчеты)'!$C$22/8 + 'PM (Расчеты)'!$C$23/40) + 
    'PM (Расчеты)'!$C$21/100 + 'PM (Расчеты)'!$C$25/100 + 
    'PM (Расчеты)'!$C$26/100
  ) + 1
)))
 * 8 * 60 * 60
</f>
        <v>0</v>
      </c>
      <c r="J172" s="252" t="str">
        <f>'Оценка'!B175</f>
        <v/>
      </c>
      <c r="K172" s="253" t="str">
        <f t="shared" si="6"/>
        <v/>
      </c>
      <c r="L172" s="253" t="str">
        <f t="shared" si="7"/>
        <v/>
      </c>
    </row>
    <row r="173">
      <c r="A173" s="247" t="str">
        <f>'Оценка'!C176</f>
        <v/>
      </c>
      <c r="B173" s="247" t="str">
        <f>'Оценка'!D176</f>
        <v/>
      </c>
      <c r="C173" s="249" t="str">
        <f t="shared" si="1"/>
        <v/>
      </c>
      <c r="D173" s="249" t="str">
        <f t="shared" si="2"/>
        <v/>
      </c>
      <c r="E173" s="249" t="str">
        <f t="shared" si="3"/>
        <v/>
      </c>
      <c r="F173" s="158" t="str">
        <f t="shared" si="4"/>
        <v/>
      </c>
      <c r="G173" s="247" t="str">
        <f>IF(A173&lt;&gt;"", 'Sales (Итоги оценки)'!$C$4, "")</f>
        <v/>
      </c>
      <c r="H173" s="249" t="str">
        <f t="shared" si="5"/>
        <v/>
      </c>
      <c r="I173" s="251">
        <f>IF(OR(ISBLANK('Оценка'!F172), ISBLANK('Оценка'!G172)), "", 
(AVERAGE(
  (
    ('Оценка'!F172 + 4*AVERAGE('Оценка'!F172:G172) + 'Оценка'!G172)/6 - 
    2*(('Оценка'!G172 - 'Оценка'!F172)/6)
  )/5 , 
  (
    ('Оценка'!F172 + 4*AVERAGE('Оценка'!F172:G172) + 'Оценка'!G172)/6 + 
    2*(('Оценка'!G172 - 'Оценка'!F172)/6)
  )/5
) * 
(
  (
    ('PM (Расчеты)'!$C$22/8 + 'PM (Расчеты)'!$C$23/40) + 
    'PM (Расчеты)'!$C$21/100 + 'PM (Расчеты)'!$C$25/100 + 
    'PM (Расчеты)'!$C$26/100
  ) + 1
)))
 * 8 * 60 * 60
</f>
        <v>0</v>
      </c>
      <c r="J173" s="252" t="str">
        <f>'Оценка'!B176</f>
        <v/>
      </c>
      <c r="K173" s="253" t="str">
        <f t="shared" si="6"/>
        <v/>
      </c>
      <c r="L173" s="253" t="str">
        <f t="shared" si="7"/>
        <v/>
      </c>
    </row>
    <row r="174">
      <c r="A174" s="247" t="str">
        <f>'Оценка'!C177</f>
        <v/>
      </c>
      <c r="B174" s="247" t="str">
        <f>'Оценка'!D177</f>
        <v/>
      </c>
      <c r="C174" s="249" t="str">
        <f t="shared" si="1"/>
        <v/>
      </c>
      <c r="D174" s="249" t="str">
        <f t="shared" si="2"/>
        <v/>
      </c>
      <c r="E174" s="249" t="str">
        <f t="shared" si="3"/>
        <v/>
      </c>
      <c r="F174" s="158" t="str">
        <f t="shared" si="4"/>
        <v/>
      </c>
      <c r="G174" s="247" t="str">
        <f>IF(A174&lt;&gt;"", 'Sales (Итоги оценки)'!$C$4, "")</f>
        <v/>
      </c>
      <c r="H174" s="249" t="str">
        <f t="shared" si="5"/>
        <v/>
      </c>
      <c r="I174" s="251">
        <f>IF(OR(ISBLANK('Оценка'!F173), ISBLANK('Оценка'!G173)), "", 
(AVERAGE(
  (
    ('Оценка'!F173 + 4*AVERAGE('Оценка'!F173:G173) + 'Оценка'!G173)/6 - 
    2*(('Оценка'!G173 - 'Оценка'!F173)/6)
  )/5 , 
  (
    ('Оценка'!F173 + 4*AVERAGE('Оценка'!F173:G173) + 'Оценка'!G173)/6 + 
    2*(('Оценка'!G173 - 'Оценка'!F173)/6)
  )/5
) * 
(
  (
    ('PM (Расчеты)'!$C$22/8 + 'PM (Расчеты)'!$C$23/40) + 
    'PM (Расчеты)'!$C$21/100 + 'PM (Расчеты)'!$C$25/100 + 
    'PM (Расчеты)'!$C$26/100
  ) + 1
)))
 * 8 * 60 * 60
</f>
        <v>0</v>
      </c>
      <c r="J174" s="252" t="str">
        <f>'Оценка'!B177</f>
        <v/>
      </c>
      <c r="K174" s="253" t="str">
        <f t="shared" si="6"/>
        <v/>
      </c>
      <c r="L174" s="253" t="str">
        <f t="shared" si="7"/>
        <v/>
      </c>
    </row>
    <row r="175">
      <c r="A175" s="247" t="str">
        <f>'Оценка'!C178</f>
        <v/>
      </c>
      <c r="B175" s="247" t="str">
        <f>'Оценка'!D178</f>
        <v/>
      </c>
      <c r="C175" s="249" t="str">
        <f t="shared" si="1"/>
        <v/>
      </c>
      <c r="D175" s="249" t="str">
        <f t="shared" si="2"/>
        <v/>
      </c>
      <c r="E175" s="249" t="str">
        <f t="shared" si="3"/>
        <v/>
      </c>
      <c r="F175" s="158" t="str">
        <f t="shared" si="4"/>
        <v/>
      </c>
      <c r="G175" s="247" t="str">
        <f>IF(A175&lt;&gt;"", 'Sales (Итоги оценки)'!$C$4, "")</f>
        <v/>
      </c>
      <c r="H175" s="249" t="str">
        <f t="shared" si="5"/>
        <v/>
      </c>
      <c r="I175" s="251">
        <f>IF(OR(ISBLANK('Оценка'!F174), ISBLANK('Оценка'!G174)), "", 
(AVERAGE(
  (
    ('Оценка'!F174 + 4*AVERAGE('Оценка'!F174:G174) + 'Оценка'!G174)/6 - 
    2*(('Оценка'!G174 - 'Оценка'!F174)/6)
  )/5 , 
  (
    ('Оценка'!F174 + 4*AVERAGE('Оценка'!F174:G174) + 'Оценка'!G174)/6 + 
    2*(('Оценка'!G174 - 'Оценка'!F174)/6)
  )/5
) * 
(
  (
    ('PM (Расчеты)'!$C$22/8 + 'PM (Расчеты)'!$C$23/40) + 
    'PM (Расчеты)'!$C$21/100 + 'PM (Расчеты)'!$C$25/100 + 
    'PM (Расчеты)'!$C$26/100
  ) + 1
)))
 * 8 * 60 * 60
</f>
        <v>0</v>
      </c>
      <c r="J175" s="252" t="str">
        <f>'Оценка'!B178</f>
        <v/>
      </c>
      <c r="K175" s="253" t="str">
        <f t="shared" si="6"/>
        <v/>
      </c>
      <c r="L175" s="253" t="str">
        <f t="shared" si="7"/>
        <v/>
      </c>
    </row>
    <row r="176">
      <c r="A176" s="247" t="str">
        <f>'Оценка'!C179</f>
        <v/>
      </c>
      <c r="B176" s="247" t="str">
        <f>'Оценка'!D179</f>
        <v/>
      </c>
      <c r="C176" s="249" t="str">
        <f t="shared" si="1"/>
        <v/>
      </c>
      <c r="D176" s="249" t="str">
        <f t="shared" si="2"/>
        <v/>
      </c>
      <c r="E176" s="249" t="str">
        <f t="shared" si="3"/>
        <v/>
      </c>
      <c r="F176" s="158" t="str">
        <f t="shared" si="4"/>
        <v/>
      </c>
      <c r="G176" s="247" t="str">
        <f>IF(A176&lt;&gt;"", 'Sales (Итоги оценки)'!$C$4, "")</f>
        <v/>
      </c>
      <c r="H176" s="249" t="str">
        <f t="shared" si="5"/>
        <v/>
      </c>
      <c r="I176" s="251">
        <f>IF(OR(ISBLANK('Оценка'!F175), ISBLANK('Оценка'!G175)), "", 
(AVERAGE(
  (
    ('Оценка'!F175 + 4*AVERAGE('Оценка'!F175:G175) + 'Оценка'!G175)/6 - 
    2*(('Оценка'!G175 - 'Оценка'!F175)/6)
  )/5 , 
  (
    ('Оценка'!F175 + 4*AVERAGE('Оценка'!F175:G175) + 'Оценка'!G175)/6 + 
    2*(('Оценка'!G175 - 'Оценка'!F175)/6)
  )/5
) * 
(
  (
    ('PM (Расчеты)'!$C$22/8 + 'PM (Расчеты)'!$C$23/40) + 
    'PM (Расчеты)'!$C$21/100 + 'PM (Расчеты)'!$C$25/100 + 
    'PM (Расчеты)'!$C$26/100
  ) + 1
)))
 * 8 * 60 * 60
</f>
        <v>0</v>
      </c>
      <c r="J176" s="252" t="str">
        <f>'Оценка'!B179</f>
        <v/>
      </c>
      <c r="K176" s="253" t="str">
        <f t="shared" si="6"/>
        <v/>
      </c>
      <c r="L176" s="253" t="str">
        <f t="shared" si="7"/>
        <v/>
      </c>
    </row>
    <row r="177">
      <c r="A177" s="247" t="str">
        <f>'Оценка'!C180</f>
        <v/>
      </c>
      <c r="B177" s="247" t="str">
        <f>'Оценка'!D180</f>
        <v/>
      </c>
      <c r="C177" s="249" t="str">
        <f t="shared" si="1"/>
        <v/>
      </c>
      <c r="D177" s="249" t="str">
        <f t="shared" si="2"/>
        <v/>
      </c>
      <c r="E177" s="249" t="str">
        <f t="shared" si="3"/>
        <v/>
      </c>
      <c r="F177" s="158" t="str">
        <f t="shared" si="4"/>
        <v/>
      </c>
      <c r="G177" s="247" t="str">
        <f>IF(A177&lt;&gt;"", 'Sales (Итоги оценки)'!$C$4, "")</f>
        <v/>
      </c>
      <c r="H177" s="249" t="str">
        <f t="shared" si="5"/>
        <v/>
      </c>
      <c r="I177" s="251">
        <f>IF(OR(ISBLANK('Оценка'!F176), ISBLANK('Оценка'!G176)), "", 
(AVERAGE(
  (
    ('Оценка'!F176 + 4*AVERAGE('Оценка'!F176:G176) + 'Оценка'!G176)/6 - 
    2*(('Оценка'!G176 - 'Оценка'!F176)/6)
  )/5 , 
  (
    ('Оценка'!F176 + 4*AVERAGE('Оценка'!F176:G176) + 'Оценка'!G176)/6 + 
    2*(('Оценка'!G176 - 'Оценка'!F176)/6)
  )/5
) * 
(
  (
    ('PM (Расчеты)'!$C$22/8 + 'PM (Расчеты)'!$C$23/40) + 
    'PM (Расчеты)'!$C$21/100 + 'PM (Расчеты)'!$C$25/100 + 
    'PM (Расчеты)'!$C$26/100
  ) + 1
)))
 * 8 * 60 * 60
</f>
        <v>0</v>
      </c>
      <c r="J177" s="252" t="str">
        <f>'Оценка'!B180</f>
        <v/>
      </c>
      <c r="K177" s="253" t="str">
        <f t="shared" si="6"/>
        <v/>
      </c>
      <c r="L177" s="253" t="str">
        <f t="shared" si="7"/>
        <v/>
      </c>
    </row>
    <row r="178">
      <c r="A178" s="247" t="str">
        <f>'Оценка'!C181</f>
        <v/>
      </c>
      <c r="B178" s="247" t="str">
        <f>'Оценка'!D181</f>
        <v/>
      </c>
      <c r="C178" s="249" t="str">
        <f t="shared" si="1"/>
        <v/>
      </c>
      <c r="D178" s="249" t="str">
        <f t="shared" si="2"/>
        <v/>
      </c>
      <c r="E178" s="249" t="str">
        <f t="shared" si="3"/>
        <v/>
      </c>
      <c r="F178" s="158" t="str">
        <f t="shared" si="4"/>
        <v/>
      </c>
      <c r="G178" s="247" t="str">
        <f>IF(A178&lt;&gt;"", 'Sales (Итоги оценки)'!$C$4, "")</f>
        <v/>
      </c>
      <c r="H178" s="249" t="str">
        <f t="shared" si="5"/>
        <v/>
      </c>
      <c r="I178" s="251">
        <f>IF(OR(ISBLANK('Оценка'!F177), ISBLANK('Оценка'!G177)), "", 
(AVERAGE(
  (
    ('Оценка'!F177 + 4*AVERAGE('Оценка'!F177:G177) + 'Оценка'!G177)/6 - 
    2*(('Оценка'!G177 - 'Оценка'!F177)/6)
  )/5 , 
  (
    ('Оценка'!F177 + 4*AVERAGE('Оценка'!F177:G177) + 'Оценка'!G177)/6 + 
    2*(('Оценка'!G177 - 'Оценка'!F177)/6)
  )/5
) * 
(
  (
    ('PM (Расчеты)'!$C$22/8 + 'PM (Расчеты)'!$C$23/40) + 
    'PM (Расчеты)'!$C$21/100 + 'PM (Расчеты)'!$C$25/100 + 
    'PM (Расчеты)'!$C$26/100
  ) + 1
)))
 * 8 * 60 * 60
</f>
        <v>0</v>
      </c>
      <c r="J178" s="252" t="str">
        <f>'Оценка'!B181</f>
        <v/>
      </c>
      <c r="K178" s="253" t="str">
        <f t="shared" si="6"/>
        <v/>
      </c>
      <c r="L178" s="253" t="str">
        <f t="shared" si="7"/>
        <v/>
      </c>
    </row>
    <row r="179">
      <c r="A179" s="247" t="str">
        <f>'Оценка'!C182</f>
        <v/>
      </c>
      <c r="B179" s="247" t="str">
        <f>'Оценка'!D182</f>
        <v/>
      </c>
      <c r="C179" s="249" t="str">
        <f t="shared" si="1"/>
        <v/>
      </c>
      <c r="D179" s="249" t="str">
        <f t="shared" si="2"/>
        <v/>
      </c>
      <c r="E179" s="249" t="str">
        <f t="shared" si="3"/>
        <v/>
      </c>
      <c r="F179" s="158" t="str">
        <f t="shared" si="4"/>
        <v/>
      </c>
      <c r="G179" s="247" t="str">
        <f>IF(A179&lt;&gt;"", 'Sales (Итоги оценки)'!$C$4, "")</f>
        <v/>
      </c>
      <c r="H179" s="249" t="str">
        <f t="shared" si="5"/>
        <v/>
      </c>
      <c r="I179" s="251">
        <f>IF(OR(ISBLANK('Оценка'!F178), ISBLANK('Оценка'!G178)), "", 
(AVERAGE(
  (
    ('Оценка'!F178 + 4*AVERAGE('Оценка'!F178:G178) + 'Оценка'!G178)/6 - 
    2*(('Оценка'!G178 - 'Оценка'!F178)/6)
  )/5 , 
  (
    ('Оценка'!F178 + 4*AVERAGE('Оценка'!F178:G178) + 'Оценка'!G178)/6 + 
    2*(('Оценка'!G178 - 'Оценка'!F178)/6)
  )/5
) * 
(
  (
    ('PM (Расчеты)'!$C$22/8 + 'PM (Расчеты)'!$C$23/40) + 
    'PM (Расчеты)'!$C$21/100 + 'PM (Расчеты)'!$C$25/100 + 
    'PM (Расчеты)'!$C$26/100
  ) + 1
)))
 * 8 * 60 * 60
</f>
        <v>0</v>
      </c>
      <c r="J179" s="252" t="str">
        <f>'Оценка'!B182</f>
        <v/>
      </c>
      <c r="K179" s="253" t="str">
        <f t="shared" si="6"/>
        <v/>
      </c>
      <c r="L179" s="253" t="str">
        <f t="shared" si="7"/>
        <v/>
      </c>
    </row>
    <row r="180">
      <c r="A180" s="247" t="str">
        <f>'Оценка'!C183</f>
        <v/>
      </c>
      <c r="B180" s="247" t="str">
        <f>'Оценка'!D183</f>
        <v/>
      </c>
      <c r="C180" s="249" t="str">
        <f t="shared" si="1"/>
        <v/>
      </c>
      <c r="D180" s="249" t="str">
        <f t="shared" si="2"/>
        <v/>
      </c>
      <c r="E180" s="249" t="str">
        <f t="shared" si="3"/>
        <v/>
      </c>
      <c r="F180" s="158" t="str">
        <f t="shared" si="4"/>
        <v/>
      </c>
      <c r="G180" s="247" t="str">
        <f>IF(A180&lt;&gt;"", 'Sales (Итоги оценки)'!$C$4, "")</f>
        <v/>
      </c>
      <c r="H180" s="249" t="str">
        <f t="shared" si="5"/>
        <v/>
      </c>
      <c r="I180" s="251">
        <f>IF(OR(ISBLANK('Оценка'!F179), ISBLANK('Оценка'!G179)), "", 
(AVERAGE(
  (
    ('Оценка'!F179 + 4*AVERAGE('Оценка'!F179:G179) + 'Оценка'!G179)/6 - 
    2*(('Оценка'!G179 - 'Оценка'!F179)/6)
  )/5 , 
  (
    ('Оценка'!F179 + 4*AVERAGE('Оценка'!F179:G179) + 'Оценка'!G179)/6 + 
    2*(('Оценка'!G179 - 'Оценка'!F179)/6)
  )/5
) * 
(
  (
    ('PM (Расчеты)'!$C$22/8 + 'PM (Расчеты)'!$C$23/40) + 
    'PM (Расчеты)'!$C$21/100 + 'PM (Расчеты)'!$C$25/100 + 
    'PM (Расчеты)'!$C$26/100
  ) + 1
)))
 * 8 * 60 * 60
</f>
        <v>0</v>
      </c>
      <c r="J180" s="252" t="str">
        <f>'Оценка'!B183</f>
        <v/>
      </c>
      <c r="K180" s="253" t="str">
        <f t="shared" si="6"/>
        <v/>
      </c>
      <c r="L180" s="253" t="str">
        <f t="shared" si="7"/>
        <v/>
      </c>
    </row>
    <row r="181">
      <c r="A181" s="247" t="str">
        <f>'Оценка'!C184</f>
        <v/>
      </c>
      <c r="B181" s="247" t="str">
        <f>'Оценка'!D184</f>
        <v/>
      </c>
      <c r="C181" s="249" t="str">
        <f t="shared" si="1"/>
        <v/>
      </c>
      <c r="D181" s="249" t="str">
        <f t="shared" si="2"/>
        <v/>
      </c>
      <c r="E181" s="249" t="str">
        <f t="shared" si="3"/>
        <v/>
      </c>
      <c r="F181" s="158" t="str">
        <f t="shared" si="4"/>
        <v/>
      </c>
      <c r="G181" s="247" t="str">
        <f>IF(A181&lt;&gt;"", 'Sales (Итоги оценки)'!$C$4, "")</f>
        <v/>
      </c>
      <c r="H181" s="249" t="str">
        <f t="shared" si="5"/>
        <v/>
      </c>
      <c r="I181" s="251">
        <f>IF(OR(ISBLANK('Оценка'!F180), ISBLANK('Оценка'!G180)), "", 
(AVERAGE(
  (
    ('Оценка'!F180 + 4*AVERAGE('Оценка'!F180:G180) + 'Оценка'!G180)/6 - 
    2*(('Оценка'!G180 - 'Оценка'!F180)/6)
  )/5 , 
  (
    ('Оценка'!F180 + 4*AVERAGE('Оценка'!F180:G180) + 'Оценка'!G180)/6 + 
    2*(('Оценка'!G180 - 'Оценка'!F180)/6)
  )/5
) * 
(
  (
    ('PM (Расчеты)'!$C$22/8 + 'PM (Расчеты)'!$C$23/40) + 
    'PM (Расчеты)'!$C$21/100 + 'PM (Расчеты)'!$C$25/100 + 
    'PM (Расчеты)'!$C$26/100
  ) + 1
)))
 * 8 * 60 * 60
</f>
        <v>0</v>
      </c>
      <c r="J181" s="252" t="str">
        <f>'Оценка'!B184</f>
        <v/>
      </c>
      <c r="K181" s="253" t="str">
        <f t="shared" si="6"/>
        <v/>
      </c>
      <c r="L181" s="253" t="str">
        <f t="shared" si="7"/>
        <v/>
      </c>
    </row>
    <row r="182">
      <c r="A182" s="247" t="str">
        <f>'Оценка'!C185</f>
        <v/>
      </c>
      <c r="B182" s="247" t="str">
        <f>'Оценка'!D185</f>
        <v/>
      </c>
      <c r="C182" s="249" t="str">
        <f t="shared" si="1"/>
        <v/>
      </c>
      <c r="D182" s="249" t="str">
        <f t="shared" si="2"/>
        <v/>
      </c>
      <c r="E182" s="249" t="str">
        <f t="shared" si="3"/>
        <v/>
      </c>
      <c r="F182" s="158" t="str">
        <f t="shared" si="4"/>
        <v/>
      </c>
      <c r="G182" s="247" t="str">
        <f>IF(A182&lt;&gt;"", 'Sales (Итоги оценки)'!$C$4, "")</f>
        <v/>
      </c>
      <c r="H182" s="249" t="str">
        <f t="shared" si="5"/>
        <v/>
      </c>
      <c r="I182" s="251">
        <f>IF(OR(ISBLANK('Оценка'!F181), ISBLANK('Оценка'!G181)), "", 
(AVERAGE(
  (
    ('Оценка'!F181 + 4*AVERAGE('Оценка'!F181:G181) + 'Оценка'!G181)/6 - 
    2*(('Оценка'!G181 - 'Оценка'!F181)/6)
  )/5 , 
  (
    ('Оценка'!F181 + 4*AVERAGE('Оценка'!F181:G181) + 'Оценка'!G181)/6 + 
    2*(('Оценка'!G181 - 'Оценка'!F181)/6)
  )/5
) * 
(
  (
    ('PM (Расчеты)'!$C$22/8 + 'PM (Расчеты)'!$C$23/40) + 
    'PM (Расчеты)'!$C$21/100 + 'PM (Расчеты)'!$C$25/100 + 
    'PM (Расчеты)'!$C$26/100
  ) + 1
)))
 * 8 * 60 * 60
</f>
        <v>0</v>
      </c>
      <c r="J182" s="252" t="str">
        <f>'Оценка'!B185</f>
        <v/>
      </c>
      <c r="K182" s="253" t="str">
        <f t="shared" si="6"/>
        <v/>
      </c>
      <c r="L182" s="253" t="str">
        <f t="shared" si="7"/>
        <v/>
      </c>
    </row>
    <row r="183">
      <c r="A183" s="247" t="str">
        <f>'Оценка'!C186</f>
        <v/>
      </c>
      <c r="B183" s="247" t="str">
        <f>'Оценка'!D186</f>
        <v/>
      </c>
      <c r="C183" s="249" t="str">
        <f t="shared" si="1"/>
        <v/>
      </c>
      <c r="D183" s="249" t="str">
        <f t="shared" si="2"/>
        <v/>
      </c>
      <c r="E183" s="249" t="str">
        <f t="shared" si="3"/>
        <v/>
      </c>
      <c r="F183" s="158" t="str">
        <f t="shared" si="4"/>
        <v/>
      </c>
      <c r="G183" s="247" t="str">
        <f>IF(A183&lt;&gt;"", 'Sales (Итоги оценки)'!$C$4, "")</f>
        <v/>
      </c>
      <c r="H183" s="249" t="str">
        <f t="shared" si="5"/>
        <v/>
      </c>
      <c r="I183" s="251">
        <f>IF(OR(ISBLANK('Оценка'!F182), ISBLANK('Оценка'!G182)), "", 
(AVERAGE(
  (
    ('Оценка'!F182 + 4*AVERAGE('Оценка'!F182:G182) + 'Оценка'!G182)/6 - 
    2*(('Оценка'!G182 - 'Оценка'!F182)/6)
  )/5 , 
  (
    ('Оценка'!F182 + 4*AVERAGE('Оценка'!F182:G182) + 'Оценка'!G182)/6 + 
    2*(('Оценка'!G182 - 'Оценка'!F182)/6)
  )/5
) * 
(
  (
    ('PM (Расчеты)'!$C$22/8 + 'PM (Расчеты)'!$C$23/40) + 
    'PM (Расчеты)'!$C$21/100 + 'PM (Расчеты)'!$C$25/100 + 
    'PM (Расчеты)'!$C$26/100
  ) + 1
)))
 * 8 * 60 * 60
</f>
        <v>0</v>
      </c>
      <c r="J183" s="252" t="str">
        <f>'Оценка'!B186</f>
        <v/>
      </c>
      <c r="K183" s="253" t="str">
        <f t="shared" si="6"/>
        <v/>
      </c>
      <c r="L183" s="253" t="str">
        <f t="shared" si="7"/>
        <v/>
      </c>
    </row>
    <row r="184">
      <c r="A184" s="247" t="str">
        <f>'Оценка'!C187</f>
        <v/>
      </c>
      <c r="B184" s="247" t="str">
        <f>'Оценка'!D187</f>
        <v/>
      </c>
      <c r="C184" s="249" t="str">
        <f t="shared" si="1"/>
        <v/>
      </c>
      <c r="D184" s="249" t="str">
        <f t="shared" si="2"/>
        <v/>
      </c>
      <c r="E184" s="249" t="str">
        <f t="shared" si="3"/>
        <v/>
      </c>
      <c r="F184" s="158" t="str">
        <f t="shared" si="4"/>
        <v/>
      </c>
      <c r="G184" s="247" t="str">
        <f>IF(A184&lt;&gt;"", 'Sales (Итоги оценки)'!$C$4, "")</f>
        <v/>
      </c>
      <c r="H184" s="249" t="str">
        <f t="shared" si="5"/>
        <v/>
      </c>
      <c r="I184" s="251">
        <f>IF(OR(ISBLANK('Оценка'!F183), ISBLANK('Оценка'!G183)), "", 
(AVERAGE(
  (
    ('Оценка'!F183 + 4*AVERAGE('Оценка'!F183:G183) + 'Оценка'!G183)/6 - 
    2*(('Оценка'!G183 - 'Оценка'!F183)/6)
  )/5 , 
  (
    ('Оценка'!F183 + 4*AVERAGE('Оценка'!F183:G183) + 'Оценка'!G183)/6 + 
    2*(('Оценка'!G183 - 'Оценка'!F183)/6)
  )/5
) * 
(
  (
    ('PM (Расчеты)'!$C$22/8 + 'PM (Расчеты)'!$C$23/40) + 
    'PM (Расчеты)'!$C$21/100 + 'PM (Расчеты)'!$C$25/100 + 
    'PM (Расчеты)'!$C$26/100
  ) + 1
)))
 * 8 * 60 * 60
</f>
        <v>0</v>
      </c>
      <c r="J184" s="252" t="str">
        <f>'Оценка'!B187</f>
        <v/>
      </c>
      <c r="K184" s="253" t="str">
        <f t="shared" si="6"/>
        <v/>
      </c>
      <c r="L184" s="253" t="str">
        <f t="shared" si="7"/>
        <v/>
      </c>
    </row>
    <row r="185">
      <c r="A185" s="247" t="str">
        <f>'Оценка'!C188</f>
        <v/>
      </c>
      <c r="B185" s="247" t="str">
        <f>'Оценка'!D188</f>
        <v/>
      </c>
      <c r="C185" s="249" t="str">
        <f t="shared" si="1"/>
        <v/>
      </c>
      <c r="D185" s="249" t="str">
        <f t="shared" si="2"/>
        <v/>
      </c>
      <c r="E185" s="249" t="str">
        <f t="shared" si="3"/>
        <v/>
      </c>
      <c r="F185" s="158" t="str">
        <f t="shared" si="4"/>
        <v/>
      </c>
      <c r="G185" s="247" t="str">
        <f>IF(A185&lt;&gt;"", 'Sales (Итоги оценки)'!$C$4, "")</f>
        <v/>
      </c>
      <c r="H185" s="249" t="str">
        <f t="shared" si="5"/>
        <v/>
      </c>
      <c r="I185" s="251">
        <f>IF(OR(ISBLANK('Оценка'!F184), ISBLANK('Оценка'!G184)), "", 
(AVERAGE(
  (
    ('Оценка'!F184 + 4*AVERAGE('Оценка'!F184:G184) + 'Оценка'!G184)/6 - 
    2*(('Оценка'!G184 - 'Оценка'!F184)/6)
  )/5 , 
  (
    ('Оценка'!F184 + 4*AVERAGE('Оценка'!F184:G184) + 'Оценка'!G184)/6 + 
    2*(('Оценка'!G184 - 'Оценка'!F184)/6)
  )/5
) * 
(
  (
    ('PM (Расчеты)'!$C$22/8 + 'PM (Расчеты)'!$C$23/40) + 
    'PM (Расчеты)'!$C$21/100 + 'PM (Расчеты)'!$C$25/100 + 
    'PM (Расчеты)'!$C$26/100
  ) + 1
)))
 * 8 * 60 * 60
</f>
        <v>0</v>
      </c>
      <c r="J185" s="252" t="str">
        <f>'Оценка'!B188</f>
        <v/>
      </c>
      <c r="K185" s="253" t="str">
        <f t="shared" si="6"/>
        <v/>
      </c>
      <c r="L185" s="253" t="str">
        <f t="shared" si="7"/>
        <v/>
      </c>
    </row>
    <row r="186">
      <c r="A186" s="247" t="str">
        <f>'Оценка'!C189</f>
        <v/>
      </c>
      <c r="B186" s="247" t="str">
        <f>'Оценка'!D189</f>
        <v/>
      </c>
      <c r="C186" s="249" t="str">
        <f t="shared" si="1"/>
        <v/>
      </c>
      <c r="D186" s="249" t="str">
        <f t="shared" si="2"/>
        <v/>
      </c>
      <c r="E186" s="249" t="str">
        <f t="shared" si="3"/>
        <v/>
      </c>
      <c r="F186" s="158" t="str">
        <f t="shared" si="4"/>
        <v/>
      </c>
      <c r="G186" s="247" t="str">
        <f>IF(A186&lt;&gt;"", 'Sales (Итоги оценки)'!$C$4, "")</f>
        <v/>
      </c>
      <c r="H186" s="249" t="str">
        <f t="shared" si="5"/>
        <v/>
      </c>
      <c r="I186" s="251">
        <f>IF(OR(ISBLANK('Оценка'!F185), ISBLANK('Оценка'!G185)), "", 
(AVERAGE(
  (
    ('Оценка'!F185 + 4*AVERAGE('Оценка'!F185:G185) + 'Оценка'!G185)/6 - 
    2*(('Оценка'!G185 - 'Оценка'!F185)/6)
  )/5 , 
  (
    ('Оценка'!F185 + 4*AVERAGE('Оценка'!F185:G185) + 'Оценка'!G185)/6 + 
    2*(('Оценка'!G185 - 'Оценка'!F185)/6)
  )/5
) * 
(
  (
    ('PM (Расчеты)'!$C$22/8 + 'PM (Расчеты)'!$C$23/40) + 
    'PM (Расчеты)'!$C$21/100 + 'PM (Расчеты)'!$C$25/100 + 
    'PM (Расчеты)'!$C$26/100
  ) + 1
)))
 * 8 * 60 * 60
</f>
        <v>0</v>
      </c>
      <c r="J186" s="252" t="str">
        <f>'Оценка'!B189</f>
        <v/>
      </c>
      <c r="K186" s="253" t="str">
        <f t="shared" si="6"/>
        <v/>
      </c>
      <c r="L186" s="253" t="str">
        <f t="shared" si="7"/>
        <v/>
      </c>
    </row>
    <row r="187">
      <c r="A187" s="247" t="str">
        <f>'Оценка'!C190</f>
        <v/>
      </c>
      <c r="B187" s="247" t="str">
        <f>'Оценка'!D190</f>
        <v/>
      </c>
      <c r="C187" s="249" t="str">
        <f t="shared" si="1"/>
        <v/>
      </c>
      <c r="D187" s="249" t="str">
        <f t="shared" si="2"/>
        <v/>
      </c>
      <c r="E187" s="249" t="str">
        <f t="shared" si="3"/>
        <v/>
      </c>
      <c r="F187" s="158" t="str">
        <f t="shared" si="4"/>
        <v/>
      </c>
      <c r="G187" s="247" t="str">
        <f>IF(A187&lt;&gt;"", 'Sales (Итоги оценки)'!$C$4, "")</f>
        <v/>
      </c>
      <c r="H187" s="249" t="str">
        <f t="shared" si="5"/>
        <v/>
      </c>
      <c r="I187" s="251">
        <f>IF(OR(ISBLANK('Оценка'!F186), ISBLANK('Оценка'!G186)), "", 
(AVERAGE(
  (
    ('Оценка'!F186 + 4*AVERAGE('Оценка'!F186:G186) + 'Оценка'!G186)/6 - 
    2*(('Оценка'!G186 - 'Оценка'!F186)/6)
  )/5 , 
  (
    ('Оценка'!F186 + 4*AVERAGE('Оценка'!F186:G186) + 'Оценка'!G186)/6 + 
    2*(('Оценка'!G186 - 'Оценка'!F186)/6)
  )/5
) * 
(
  (
    ('PM (Расчеты)'!$C$22/8 + 'PM (Расчеты)'!$C$23/40) + 
    'PM (Расчеты)'!$C$21/100 + 'PM (Расчеты)'!$C$25/100 + 
    'PM (Расчеты)'!$C$26/100
  ) + 1
)))
 * 8 * 60 * 60
</f>
        <v>0</v>
      </c>
      <c r="J187" s="252" t="str">
        <f>'Оценка'!B190</f>
        <v/>
      </c>
      <c r="K187" s="253" t="str">
        <f t="shared" si="6"/>
        <v/>
      </c>
      <c r="L187" s="253" t="str">
        <f t="shared" si="7"/>
        <v/>
      </c>
    </row>
    <row r="188">
      <c r="A188" s="247" t="str">
        <f>'Оценка'!C191</f>
        <v/>
      </c>
      <c r="B188" s="247" t="str">
        <f>'Оценка'!D191</f>
        <v/>
      </c>
      <c r="C188" s="249" t="str">
        <f t="shared" si="1"/>
        <v/>
      </c>
      <c r="D188" s="249" t="str">
        <f t="shared" si="2"/>
        <v/>
      </c>
      <c r="E188" s="249" t="str">
        <f t="shared" si="3"/>
        <v/>
      </c>
      <c r="F188" s="158" t="str">
        <f t="shared" si="4"/>
        <v/>
      </c>
      <c r="G188" s="247" t="str">
        <f>IF(A188&lt;&gt;"", 'Sales (Итоги оценки)'!$C$4, "")</f>
        <v/>
      </c>
      <c r="H188" s="249" t="str">
        <f t="shared" si="5"/>
        <v/>
      </c>
      <c r="I188" s="251">
        <f>IF(OR(ISBLANK('Оценка'!F187), ISBLANK('Оценка'!G187)), "", 
(AVERAGE(
  (
    ('Оценка'!F187 + 4*AVERAGE('Оценка'!F187:G187) + 'Оценка'!G187)/6 - 
    2*(('Оценка'!G187 - 'Оценка'!F187)/6)
  )/5 , 
  (
    ('Оценка'!F187 + 4*AVERAGE('Оценка'!F187:G187) + 'Оценка'!G187)/6 + 
    2*(('Оценка'!G187 - 'Оценка'!F187)/6)
  )/5
) * 
(
  (
    ('PM (Расчеты)'!$C$22/8 + 'PM (Расчеты)'!$C$23/40) + 
    'PM (Расчеты)'!$C$21/100 + 'PM (Расчеты)'!$C$25/100 + 
    'PM (Расчеты)'!$C$26/100
  ) + 1
)))
 * 8 * 60 * 60
</f>
        <v>0</v>
      </c>
      <c r="J188" s="252" t="str">
        <f>'Оценка'!B191</f>
        <v/>
      </c>
      <c r="K188" s="253" t="str">
        <f t="shared" si="6"/>
        <v/>
      </c>
      <c r="L188" s="253" t="str">
        <f t="shared" si="7"/>
        <v/>
      </c>
    </row>
    <row r="189">
      <c r="A189" s="247" t="str">
        <f>'Оценка'!C192</f>
        <v/>
      </c>
      <c r="B189" s="247" t="str">
        <f>'Оценка'!D192</f>
        <v/>
      </c>
      <c r="C189" s="249" t="str">
        <f t="shared" si="1"/>
        <v/>
      </c>
      <c r="D189" s="249" t="str">
        <f t="shared" si="2"/>
        <v/>
      </c>
      <c r="E189" s="249" t="str">
        <f t="shared" si="3"/>
        <v/>
      </c>
      <c r="F189" s="158" t="str">
        <f t="shared" si="4"/>
        <v/>
      </c>
      <c r="G189" s="247" t="str">
        <f>IF(A189&lt;&gt;"", 'Sales (Итоги оценки)'!$C$4, "")</f>
        <v/>
      </c>
      <c r="H189" s="249" t="str">
        <f t="shared" si="5"/>
        <v/>
      </c>
      <c r="I189" s="251">
        <f>IF(OR(ISBLANK('Оценка'!F188), ISBLANK('Оценка'!G188)), "", 
(AVERAGE(
  (
    ('Оценка'!F188 + 4*AVERAGE('Оценка'!F188:G188) + 'Оценка'!G188)/6 - 
    2*(('Оценка'!G188 - 'Оценка'!F188)/6)
  )/5 , 
  (
    ('Оценка'!F188 + 4*AVERAGE('Оценка'!F188:G188) + 'Оценка'!G188)/6 + 
    2*(('Оценка'!G188 - 'Оценка'!F188)/6)
  )/5
) * 
(
  (
    ('PM (Расчеты)'!$C$22/8 + 'PM (Расчеты)'!$C$23/40) + 
    'PM (Расчеты)'!$C$21/100 + 'PM (Расчеты)'!$C$25/100 + 
    'PM (Расчеты)'!$C$26/100
  ) + 1
)))
 * 8 * 60 * 60
</f>
        <v>0</v>
      </c>
      <c r="J189" s="252" t="str">
        <f>'Оценка'!B192</f>
        <v/>
      </c>
      <c r="K189" s="253" t="str">
        <f t="shared" si="6"/>
        <v/>
      </c>
      <c r="L189" s="253" t="str">
        <f t="shared" si="7"/>
        <v/>
      </c>
    </row>
    <row r="190">
      <c r="A190" s="247" t="str">
        <f>'Оценка'!C193</f>
        <v/>
      </c>
      <c r="B190" s="247" t="str">
        <f>'Оценка'!D193</f>
        <v/>
      </c>
      <c r="C190" s="249" t="str">
        <f t="shared" si="1"/>
        <v/>
      </c>
      <c r="D190" s="249" t="str">
        <f t="shared" si="2"/>
        <v/>
      </c>
      <c r="E190" s="249" t="str">
        <f t="shared" si="3"/>
        <v/>
      </c>
      <c r="F190" s="158" t="str">
        <f t="shared" si="4"/>
        <v/>
      </c>
      <c r="G190" s="247" t="str">
        <f>IF(A190&lt;&gt;"", 'Sales (Итоги оценки)'!$C$4, "")</f>
        <v/>
      </c>
      <c r="H190" s="249" t="str">
        <f t="shared" si="5"/>
        <v/>
      </c>
      <c r="I190" s="251">
        <f>IF(OR(ISBLANK('Оценка'!F189), ISBLANK('Оценка'!G189)), "", 
(AVERAGE(
  (
    ('Оценка'!F189 + 4*AVERAGE('Оценка'!F189:G189) + 'Оценка'!G189)/6 - 
    2*(('Оценка'!G189 - 'Оценка'!F189)/6)
  )/5 , 
  (
    ('Оценка'!F189 + 4*AVERAGE('Оценка'!F189:G189) + 'Оценка'!G189)/6 + 
    2*(('Оценка'!G189 - 'Оценка'!F189)/6)
  )/5
) * 
(
  (
    ('PM (Расчеты)'!$C$22/8 + 'PM (Расчеты)'!$C$23/40) + 
    'PM (Расчеты)'!$C$21/100 + 'PM (Расчеты)'!$C$25/100 + 
    'PM (Расчеты)'!$C$26/100
  ) + 1
)))
 * 8 * 60 * 60
</f>
        <v>0</v>
      </c>
      <c r="J190" s="252" t="str">
        <f>'Оценка'!B193</f>
        <v/>
      </c>
      <c r="K190" s="253" t="str">
        <f t="shared" si="6"/>
        <v/>
      </c>
      <c r="L190" s="253" t="str">
        <f t="shared" si="7"/>
        <v/>
      </c>
    </row>
    <row r="191">
      <c r="A191" s="247" t="str">
        <f>'Оценка'!C194</f>
        <v/>
      </c>
      <c r="B191" s="247" t="str">
        <f>'Оценка'!D194</f>
        <v/>
      </c>
      <c r="C191" s="249" t="str">
        <f t="shared" si="1"/>
        <v/>
      </c>
      <c r="D191" s="249" t="str">
        <f t="shared" si="2"/>
        <v/>
      </c>
      <c r="E191" s="249" t="str">
        <f t="shared" si="3"/>
        <v/>
      </c>
      <c r="F191" s="158" t="str">
        <f t="shared" si="4"/>
        <v/>
      </c>
      <c r="G191" s="247" t="str">
        <f>IF(A191&lt;&gt;"", 'Sales (Итоги оценки)'!$C$4, "")</f>
        <v/>
      </c>
      <c r="H191" s="249" t="str">
        <f t="shared" si="5"/>
        <v/>
      </c>
      <c r="I191" s="251">
        <f>IF(OR(ISBLANK('Оценка'!F190), ISBLANK('Оценка'!G190)), "", 
(AVERAGE(
  (
    ('Оценка'!F190 + 4*AVERAGE('Оценка'!F190:G190) + 'Оценка'!G190)/6 - 
    2*(('Оценка'!G190 - 'Оценка'!F190)/6)
  )/5 , 
  (
    ('Оценка'!F190 + 4*AVERAGE('Оценка'!F190:G190) + 'Оценка'!G190)/6 + 
    2*(('Оценка'!G190 - 'Оценка'!F190)/6)
  )/5
) * 
(
  (
    ('PM (Расчеты)'!$C$22/8 + 'PM (Расчеты)'!$C$23/40) + 
    'PM (Расчеты)'!$C$21/100 + 'PM (Расчеты)'!$C$25/100 + 
    'PM (Расчеты)'!$C$26/100
  ) + 1
)))
 * 8 * 60 * 60
</f>
        <v>0</v>
      </c>
      <c r="J191" s="252" t="str">
        <f>'Оценка'!B194</f>
        <v/>
      </c>
      <c r="K191" s="253" t="str">
        <f t="shared" si="6"/>
        <v/>
      </c>
      <c r="L191" s="253" t="str">
        <f t="shared" si="7"/>
        <v/>
      </c>
    </row>
    <row r="192">
      <c r="A192" s="247" t="str">
        <f>'Оценка'!C195</f>
        <v/>
      </c>
      <c r="B192" s="247" t="str">
        <f>'Оценка'!D195</f>
        <v/>
      </c>
      <c r="C192" s="249" t="str">
        <f t="shared" si="1"/>
        <v/>
      </c>
      <c r="D192" s="249" t="str">
        <f t="shared" si="2"/>
        <v/>
      </c>
      <c r="E192" s="249" t="str">
        <f t="shared" si="3"/>
        <v/>
      </c>
      <c r="F192" s="158" t="str">
        <f t="shared" si="4"/>
        <v/>
      </c>
      <c r="G192" s="247" t="str">
        <f>IF(A192&lt;&gt;"", 'Sales (Итоги оценки)'!$C$4, "")</f>
        <v/>
      </c>
      <c r="H192" s="249" t="str">
        <f t="shared" si="5"/>
        <v/>
      </c>
      <c r="I192" s="251">
        <f>IF(OR(ISBLANK('Оценка'!F191), ISBLANK('Оценка'!G191)), "", 
(AVERAGE(
  (
    ('Оценка'!F191 + 4*AVERAGE('Оценка'!F191:G191) + 'Оценка'!G191)/6 - 
    2*(('Оценка'!G191 - 'Оценка'!F191)/6)
  )/5 , 
  (
    ('Оценка'!F191 + 4*AVERAGE('Оценка'!F191:G191) + 'Оценка'!G191)/6 + 
    2*(('Оценка'!G191 - 'Оценка'!F191)/6)
  )/5
) * 
(
  (
    ('PM (Расчеты)'!$C$22/8 + 'PM (Расчеты)'!$C$23/40) + 
    'PM (Расчеты)'!$C$21/100 + 'PM (Расчеты)'!$C$25/100 + 
    'PM (Расчеты)'!$C$26/100
  ) + 1
)))
 * 8 * 60 * 60
</f>
        <v>0</v>
      </c>
      <c r="J192" s="252" t="str">
        <f>'Оценка'!B195</f>
        <v/>
      </c>
      <c r="K192" s="253" t="str">
        <f t="shared" si="6"/>
        <v/>
      </c>
      <c r="L192" s="253" t="str">
        <f t="shared" si="7"/>
        <v/>
      </c>
    </row>
    <row r="193">
      <c r="A193" s="247" t="str">
        <f>'Оценка'!C196</f>
        <v/>
      </c>
      <c r="B193" s="247" t="str">
        <f>'Оценка'!D196</f>
        <v/>
      </c>
      <c r="C193" s="249" t="str">
        <f t="shared" si="1"/>
        <v/>
      </c>
      <c r="D193" s="249" t="str">
        <f t="shared" si="2"/>
        <v/>
      </c>
      <c r="E193" s="249" t="str">
        <f t="shared" si="3"/>
        <v/>
      </c>
      <c r="F193" s="158" t="str">
        <f t="shared" si="4"/>
        <v/>
      </c>
      <c r="G193" s="247" t="str">
        <f>IF(A193&lt;&gt;"", 'Sales (Итоги оценки)'!$C$4, "")</f>
        <v/>
      </c>
      <c r="H193" s="249" t="str">
        <f t="shared" si="5"/>
        <v/>
      </c>
      <c r="I193" s="251">
        <f>IF(OR(ISBLANK('Оценка'!F192), ISBLANK('Оценка'!G192)), "", 
(AVERAGE(
  (
    ('Оценка'!F192 + 4*AVERAGE('Оценка'!F192:G192) + 'Оценка'!G192)/6 - 
    2*(('Оценка'!G192 - 'Оценка'!F192)/6)
  )/5 , 
  (
    ('Оценка'!F192 + 4*AVERAGE('Оценка'!F192:G192) + 'Оценка'!G192)/6 + 
    2*(('Оценка'!G192 - 'Оценка'!F192)/6)
  )/5
) * 
(
  (
    ('PM (Расчеты)'!$C$22/8 + 'PM (Расчеты)'!$C$23/40) + 
    'PM (Расчеты)'!$C$21/100 + 'PM (Расчеты)'!$C$25/100 + 
    'PM (Расчеты)'!$C$26/100
  ) + 1
)))
 * 8 * 60 * 60
</f>
        <v>0</v>
      </c>
      <c r="J193" s="252" t="str">
        <f>'Оценка'!B196</f>
        <v/>
      </c>
      <c r="K193" s="253" t="str">
        <f t="shared" si="6"/>
        <v/>
      </c>
      <c r="L193" s="253" t="str">
        <f t="shared" si="7"/>
        <v/>
      </c>
    </row>
    <row r="194">
      <c r="A194" s="247" t="str">
        <f>'Оценка'!C197</f>
        <v/>
      </c>
      <c r="B194" s="247" t="str">
        <f>'Оценка'!D197</f>
        <v/>
      </c>
      <c r="C194" s="249" t="str">
        <f t="shared" si="1"/>
        <v/>
      </c>
      <c r="D194" s="249" t="str">
        <f t="shared" si="2"/>
        <v/>
      </c>
      <c r="E194" s="249" t="str">
        <f t="shared" si="3"/>
        <v/>
      </c>
      <c r="F194" s="158" t="str">
        <f t="shared" si="4"/>
        <v/>
      </c>
      <c r="G194" s="247" t="str">
        <f>IF(A194&lt;&gt;"", 'Sales (Итоги оценки)'!$C$4, "")</f>
        <v/>
      </c>
      <c r="H194" s="249" t="str">
        <f t="shared" si="5"/>
        <v/>
      </c>
      <c r="I194" s="251">
        <f>IF(OR(ISBLANK('Оценка'!F193), ISBLANK('Оценка'!G193)), "", 
(AVERAGE(
  (
    ('Оценка'!F193 + 4*AVERAGE('Оценка'!F193:G193) + 'Оценка'!G193)/6 - 
    2*(('Оценка'!G193 - 'Оценка'!F193)/6)
  )/5 , 
  (
    ('Оценка'!F193 + 4*AVERAGE('Оценка'!F193:G193) + 'Оценка'!G193)/6 + 
    2*(('Оценка'!G193 - 'Оценка'!F193)/6)
  )/5
) * 
(
  (
    ('PM (Расчеты)'!$C$22/8 + 'PM (Расчеты)'!$C$23/40) + 
    'PM (Расчеты)'!$C$21/100 + 'PM (Расчеты)'!$C$25/100 + 
    'PM (Расчеты)'!$C$26/100
  ) + 1
)))
 * 8 * 60 * 60
</f>
        <v>0</v>
      </c>
      <c r="J194" s="252" t="str">
        <f>'Оценка'!B197</f>
        <v/>
      </c>
      <c r="K194" s="253" t="str">
        <f t="shared" si="6"/>
        <v/>
      </c>
      <c r="L194" s="253" t="str">
        <f t="shared" si="7"/>
        <v/>
      </c>
    </row>
    <row r="195">
      <c r="A195" s="247" t="str">
        <f>'Оценка'!C198</f>
        <v/>
      </c>
      <c r="B195" s="247" t="str">
        <f>'Оценка'!D198</f>
        <v/>
      </c>
      <c r="C195" s="249" t="str">
        <f t="shared" si="1"/>
        <v/>
      </c>
      <c r="D195" s="249" t="str">
        <f t="shared" si="2"/>
        <v/>
      </c>
      <c r="E195" s="249" t="str">
        <f t="shared" si="3"/>
        <v/>
      </c>
      <c r="F195" s="158" t="str">
        <f t="shared" si="4"/>
        <v/>
      </c>
      <c r="G195" s="247" t="str">
        <f>IF(A195&lt;&gt;"", 'Sales (Итоги оценки)'!$C$4, "")</f>
        <v/>
      </c>
      <c r="H195" s="249" t="str">
        <f t="shared" si="5"/>
        <v/>
      </c>
      <c r="I195" s="251">
        <f>IF(OR(ISBLANK('Оценка'!F194), ISBLANK('Оценка'!G194)), "", 
(AVERAGE(
  (
    ('Оценка'!F194 + 4*AVERAGE('Оценка'!F194:G194) + 'Оценка'!G194)/6 - 
    2*(('Оценка'!G194 - 'Оценка'!F194)/6)
  )/5 , 
  (
    ('Оценка'!F194 + 4*AVERAGE('Оценка'!F194:G194) + 'Оценка'!G194)/6 + 
    2*(('Оценка'!G194 - 'Оценка'!F194)/6)
  )/5
) * 
(
  (
    ('PM (Расчеты)'!$C$22/8 + 'PM (Расчеты)'!$C$23/40) + 
    'PM (Расчеты)'!$C$21/100 + 'PM (Расчеты)'!$C$25/100 + 
    'PM (Расчеты)'!$C$26/100
  ) + 1
)))
 * 8 * 60 * 60
</f>
        <v>0</v>
      </c>
      <c r="J195" s="252" t="str">
        <f>'Оценка'!B198</f>
        <v/>
      </c>
      <c r="K195" s="253" t="str">
        <f t="shared" si="6"/>
        <v/>
      </c>
      <c r="L195" s="253" t="str">
        <f t="shared" si="7"/>
        <v/>
      </c>
    </row>
    <row r="196">
      <c r="A196" s="247" t="str">
        <f>'Оценка'!C199</f>
        <v/>
      </c>
      <c r="B196" s="247" t="str">
        <f>'Оценка'!D199</f>
        <v/>
      </c>
      <c r="C196" s="249" t="str">
        <f t="shared" si="1"/>
        <v/>
      </c>
      <c r="D196" s="249" t="str">
        <f t="shared" si="2"/>
        <v/>
      </c>
      <c r="E196" s="249" t="str">
        <f t="shared" si="3"/>
        <v/>
      </c>
      <c r="F196" s="158" t="str">
        <f t="shared" si="4"/>
        <v/>
      </c>
      <c r="G196" s="247" t="str">
        <f>IF(A196&lt;&gt;"", 'Sales (Итоги оценки)'!$C$4, "")</f>
        <v/>
      </c>
      <c r="H196" s="249" t="str">
        <f t="shared" si="5"/>
        <v/>
      </c>
      <c r="I196" s="251">
        <f>IF(OR(ISBLANK('Оценка'!F195), ISBLANK('Оценка'!G195)), "", 
(AVERAGE(
  (
    ('Оценка'!F195 + 4*AVERAGE('Оценка'!F195:G195) + 'Оценка'!G195)/6 - 
    2*(('Оценка'!G195 - 'Оценка'!F195)/6)
  )/5 , 
  (
    ('Оценка'!F195 + 4*AVERAGE('Оценка'!F195:G195) + 'Оценка'!G195)/6 + 
    2*(('Оценка'!G195 - 'Оценка'!F195)/6)
  )/5
) * 
(
  (
    ('PM (Расчеты)'!$C$22/8 + 'PM (Расчеты)'!$C$23/40) + 
    'PM (Расчеты)'!$C$21/100 + 'PM (Расчеты)'!$C$25/100 + 
    'PM (Расчеты)'!$C$26/100
  ) + 1
)))
 * 8 * 60 * 60
</f>
        <v>0</v>
      </c>
      <c r="J196" s="252" t="str">
        <f>'Оценка'!B199</f>
        <v/>
      </c>
      <c r="K196" s="253" t="str">
        <f t="shared" si="6"/>
        <v/>
      </c>
      <c r="L196" s="253" t="str">
        <f t="shared" si="7"/>
        <v/>
      </c>
    </row>
    <row r="197">
      <c r="A197" s="247" t="str">
        <f>'Оценка'!C200</f>
        <v/>
      </c>
      <c r="B197" s="247" t="str">
        <f>'Оценка'!D200</f>
        <v/>
      </c>
      <c r="C197" s="249" t="str">
        <f t="shared" si="1"/>
        <v/>
      </c>
      <c r="D197" s="249" t="str">
        <f t="shared" si="2"/>
        <v/>
      </c>
      <c r="E197" s="249" t="str">
        <f t="shared" si="3"/>
        <v/>
      </c>
      <c r="F197" s="158" t="str">
        <f t="shared" si="4"/>
        <v/>
      </c>
      <c r="G197" s="247" t="str">
        <f>IF(A197&lt;&gt;"", 'Sales (Итоги оценки)'!$C$4, "")</f>
        <v/>
      </c>
      <c r="H197" s="249" t="str">
        <f t="shared" si="5"/>
        <v/>
      </c>
      <c r="I197" s="251">
        <f>IF(OR(ISBLANK('Оценка'!F196), ISBLANK('Оценка'!G196)), "", 
(AVERAGE(
  (
    ('Оценка'!F196 + 4*AVERAGE('Оценка'!F196:G196) + 'Оценка'!G196)/6 - 
    2*(('Оценка'!G196 - 'Оценка'!F196)/6)
  )/5 , 
  (
    ('Оценка'!F196 + 4*AVERAGE('Оценка'!F196:G196) + 'Оценка'!G196)/6 + 
    2*(('Оценка'!G196 - 'Оценка'!F196)/6)
  )/5
) * 
(
  (
    ('PM (Расчеты)'!$C$22/8 + 'PM (Расчеты)'!$C$23/40) + 
    'PM (Расчеты)'!$C$21/100 + 'PM (Расчеты)'!$C$25/100 + 
    'PM (Расчеты)'!$C$26/100
  ) + 1
)))
 * 8 * 60 * 60
</f>
        <v>0</v>
      </c>
      <c r="J197" s="252" t="str">
        <f>'Оценка'!B200</f>
        <v/>
      </c>
      <c r="K197" s="253" t="str">
        <f t="shared" si="6"/>
        <v/>
      </c>
      <c r="L197" s="253" t="str">
        <f t="shared" si="7"/>
        <v/>
      </c>
    </row>
    <row r="198">
      <c r="A198" s="247" t="str">
        <f>'Оценка'!C201</f>
        <v/>
      </c>
      <c r="B198" s="247" t="str">
        <f>'Оценка'!D201</f>
        <v/>
      </c>
      <c r="C198" s="249" t="str">
        <f t="shared" si="1"/>
        <v/>
      </c>
      <c r="D198" s="249" t="str">
        <f t="shared" si="2"/>
        <v/>
      </c>
      <c r="E198" s="249" t="str">
        <f t="shared" si="3"/>
        <v/>
      </c>
      <c r="F198" s="158" t="str">
        <f t="shared" si="4"/>
        <v/>
      </c>
      <c r="G198" s="247" t="str">
        <f>IF(A198&lt;&gt;"", 'Sales (Итоги оценки)'!$C$4, "")</f>
        <v/>
      </c>
      <c r="H198" s="249" t="str">
        <f t="shared" si="5"/>
        <v/>
      </c>
      <c r="I198" s="251">
        <f>IF(OR(ISBLANK('Оценка'!F197), ISBLANK('Оценка'!G197)), "", 
(AVERAGE(
  (
    ('Оценка'!F197 + 4*AVERAGE('Оценка'!F197:G197) + 'Оценка'!G197)/6 - 
    2*(('Оценка'!G197 - 'Оценка'!F197)/6)
  )/5 , 
  (
    ('Оценка'!F197 + 4*AVERAGE('Оценка'!F197:G197) + 'Оценка'!G197)/6 + 
    2*(('Оценка'!G197 - 'Оценка'!F197)/6)
  )/5
) * 
(
  (
    ('PM (Расчеты)'!$C$22/8 + 'PM (Расчеты)'!$C$23/40) + 
    'PM (Расчеты)'!$C$21/100 + 'PM (Расчеты)'!$C$25/100 + 
    'PM (Расчеты)'!$C$26/100
  ) + 1
)))
 * 8 * 60 * 60
</f>
        <v>0</v>
      </c>
      <c r="J198" s="252" t="str">
        <f>'Оценка'!B201</f>
        <v/>
      </c>
      <c r="K198" s="253" t="str">
        <f t="shared" si="6"/>
        <v/>
      </c>
      <c r="L198" s="253" t="str">
        <f t="shared" si="7"/>
        <v/>
      </c>
    </row>
    <row r="199">
      <c r="A199" s="247" t="str">
        <f>'Оценка'!C202</f>
        <v/>
      </c>
      <c r="B199" s="247" t="str">
        <f>'Оценка'!D202</f>
        <v/>
      </c>
      <c r="C199" s="249" t="str">
        <f t="shared" si="1"/>
        <v/>
      </c>
      <c r="D199" s="249" t="str">
        <f t="shared" si="2"/>
        <v/>
      </c>
      <c r="E199" s="249" t="str">
        <f t="shared" si="3"/>
        <v/>
      </c>
      <c r="F199" s="158" t="str">
        <f t="shared" si="4"/>
        <v/>
      </c>
      <c r="G199" s="247" t="str">
        <f>IF(A199&lt;&gt;"", 'Sales (Итоги оценки)'!$C$4, "")</f>
        <v/>
      </c>
      <c r="H199" s="249" t="str">
        <f t="shared" si="5"/>
        <v/>
      </c>
      <c r="I199" s="251">
        <f>IF(OR(ISBLANK('Оценка'!F198), ISBLANK('Оценка'!G198)), "", 
(AVERAGE(
  (
    ('Оценка'!F198 + 4*AVERAGE('Оценка'!F198:G198) + 'Оценка'!G198)/6 - 
    2*(('Оценка'!G198 - 'Оценка'!F198)/6)
  )/5 , 
  (
    ('Оценка'!F198 + 4*AVERAGE('Оценка'!F198:G198) + 'Оценка'!G198)/6 + 
    2*(('Оценка'!G198 - 'Оценка'!F198)/6)
  )/5
) * 
(
  (
    ('PM (Расчеты)'!$C$22/8 + 'PM (Расчеты)'!$C$23/40) + 
    'PM (Расчеты)'!$C$21/100 + 'PM (Расчеты)'!$C$25/100 + 
    'PM (Расчеты)'!$C$26/100
  ) + 1
)))
 * 8 * 60 * 60
</f>
        <v>0</v>
      </c>
      <c r="J199" s="252" t="str">
        <f>'Оценка'!B202</f>
        <v/>
      </c>
      <c r="K199" s="253" t="str">
        <f t="shared" si="6"/>
        <v/>
      </c>
      <c r="L199" s="253" t="str">
        <f t="shared" si="7"/>
        <v/>
      </c>
    </row>
    <row r="200">
      <c r="A200" s="247" t="str">
        <f>'Оценка'!C203</f>
        <v/>
      </c>
      <c r="B200" s="247" t="str">
        <f>'Оценка'!D203</f>
        <v/>
      </c>
      <c r="C200" s="249" t="str">
        <f t="shared" si="1"/>
        <v/>
      </c>
      <c r="D200" s="249" t="str">
        <f t="shared" si="2"/>
        <v/>
      </c>
      <c r="E200" s="249" t="str">
        <f t="shared" si="3"/>
        <v/>
      </c>
      <c r="F200" s="158" t="str">
        <f t="shared" si="4"/>
        <v/>
      </c>
      <c r="G200" s="247" t="str">
        <f>IF(A200&lt;&gt;"", 'Sales (Итоги оценки)'!$C$4, "")</f>
        <v/>
      </c>
      <c r="H200" s="249" t="str">
        <f t="shared" si="5"/>
        <v/>
      </c>
      <c r="I200" s="251">
        <f>IF(OR(ISBLANK('Оценка'!F199), ISBLANK('Оценка'!G199)), "", 
(AVERAGE(
  (
    ('Оценка'!F199 + 4*AVERAGE('Оценка'!F199:G199) + 'Оценка'!G199)/6 - 
    2*(('Оценка'!G199 - 'Оценка'!F199)/6)
  )/5 , 
  (
    ('Оценка'!F199 + 4*AVERAGE('Оценка'!F199:G199) + 'Оценка'!G199)/6 + 
    2*(('Оценка'!G199 - 'Оценка'!F199)/6)
  )/5
) * 
(
  (
    ('PM (Расчеты)'!$C$22/8 + 'PM (Расчеты)'!$C$23/40) + 
    'PM (Расчеты)'!$C$21/100 + 'PM (Расчеты)'!$C$25/100 + 
    'PM (Расчеты)'!$C$26/100
  ) + 1
)))
 * 8 * 60 * 60
</f>
        <v>0</v>
      </c>
      <c r="J200" s="252" t="str">
        <f>'Оценка'!B203</f>
        <v/>
      </c>
      <c r="K200" s="253" t="str">
        <f t="shared" si="6"/>
        <v/>
      </c>
      <c r="L200" s="253" t="str">
        <f t="shared" si="7"/>
        <v/>
      </c>
    </row>
    <row r="201">
      <c r="A201" s="247" t="str">
        <f>'Оценка'!C204</f>
        <v/>
      </c>
      <c r="B201" s="247" t="str">
        <f>'Оценка'!D204</f>
        <v/>
      </c>
      <c r="C201" s="249" t="str">
        <f t="shared" si="1"/>
        <v/>
      </c>
      <c r="D201" s="249" t="str">
        <f t="shared" si="2"/>
        <v/>
      </c>
      <c r="E201" s="249" t="str">
        <f t="shared" si="3"/>
        <v/>
      </c>
      <c r="F201" s="158" t="str">
        <f t="shared" si="4"/>
        <v/>
      </c>
      <c r="G201" s="247" t="str">
        <f>IF(A201&lt;&gt;"", 'Sales (Итоги оценки)'!$C$4, "")</f>
        <v/>
      </c>
      <c r="H201" s="249" t="str">
        <f t="shared" si="5"/>
        <v/>
      </c>
      <c r="I201" s="251">
        <f>IF(OR(ISBLANK('Оценка'!F200), ISBLANK('Оценка'!G200)), "", 
(AVERAGE(
  (
    ('Оценка'!F200 + 4*AVERAGE('Оценка'!F200:G200) + 'Оценка'!G200)/6 - 
    2*(('Оценка'!G200 - 'Оценка'!F200)/6)
  )/5 , 
  (
    ('Оценка'!F200 + 4*AVERAGE('Оценка'!F200:G200) + 'Оценка'!G200)/6 + 
    2*(('Оценка'!G200 - 'Оценка'!F200)/6)
  )/5
) * 
(
  (
    ('PM (Расчеты)'!$C$22/8 + 'PM (Расчеты)'!$C$23/40) + 
    'PM (Расчеты)'!$C$21/100 + 'PM (Расчеты)'!$C$25/100 + 
    'PM (Расчеты)'!$C$26/100
  ) + 1
)))
 * 8 * 60 * 60
</f>
        <v>0</v>
      </c>
      <c r="J201" s="252" t="str">
        <f>'Оценка'!B204</f>
        <v/>
      </c>
      <c r="K201" s="253" t="str">
        <f t="shared" si="6"/>
        <v/>
      </c>
      <c r="L201" s="253" t="str">
        <f t="shared" si="7"/>
        <v/>
      </c>
    </row>
    <row r="202">
      <c r="A202" s="247" t="str">
        <f>'Оценка'!C205</f>
        <v/>
      </c>
      <c r="B202" s="247" t="str">
        <f>'Оценка'!D205</f>
        <v/>
      </c>
      <c r="C202" s="249" t="str">
        <f t="shared" si="1"/>
        <v/>
      </c>
      <c r="D202" s="249" t="str">
        <f t="shared" si="2"/>
        <v/>
      </c>
      <c r="E202" s="249" t="str">
        <f t="shared" si="3"/>
        <v/>
      </c>
      <c r="F202" s="158" t="str">
        <f t="shared" si="4"/>
        <v/>
      </c>
      <c r="G202" s="247" t="str">
        <f>IF(A202&lt;&gt;"", 'Sales (Итоги оценки)'!$C$4, "")</f>
        <v/>
      </c>
      <c r="H202" s="249" t="str">
        <f t="shared" si="5"/>
        <v/>
      </c>
      <c r="I202" s="251">
        <f>IF(OR(ISBLANK('Оценка'!F201), ISBLANK('Оценка'!G201)), "", 
(AVERAGE(
  (
    ('Оценка'!F201 + 4*AVERAGE('Оценка'!F201:G201) + 'Оценка'!G201)/6 - 
    2*(('Оценка'!G201 - 'Оценка'!F201)/6)
  )/5 , 
  (
    ('Оценка'!F201 + 4*AVERAGE('Оценка'!F201:G201) + 'Оценка'!G201)/6 + 
    2*(('Оценка'!G201 - 'Оценка'!F201)/6)
  )/5
) * 
(
  (
    ('PM (Расчеты)'!$C$22/8 + 'PM (Расчеты)'!$C$23/40) + 
    'PM (Расчеты)'!$C$21/100 + 'PM (Расчеты)'!$C$25/100 + 
    'PM (Расчеты)'!$C$26/100
  ) + 1
)))
 * 8 * 60 * 60
</f>
        <v>0</v>
      </c>
      <c r="J202" s="252" t="str">
        <f>'Оценка'!B205</f>
        <v/>
      </c>
      <c r="K202" s="253" t="str">
        <f t="shared" si="6"/>
        <v/>
      </c>
      <c r="L202" s="253" t="str">
        <f t="shared" si="7"/>
        <v/>
      </c>
    </row>
    <row r="203">
      <c r="A203" s="247" t="str">
        <f>'Оценка'!C206</f>
        <v/>
      </c>
      <c r="B203" s="247" t="str">
        <f>'Оценка'!D206</f>
        <v/>
      </c>
      <c r="C203" s="249" t="str">
        <f t="shared" si="1"/>
        <v/>
      </c>
      <c r="D203" s="249" t="str">
        <f t="shared" si="2"/>
        <v/>
      </c>
      <c r="E203" s="249" t="str">
        <f t="shared" si="3"/>
        <v/>
      </c>
      <c r="F203" s="158" t="str">
        <f t="shared" si="4"/>
        <v/>
      </c>
      <c r="G203" s="247" t="str">
        <f>IF(A203&lt;&gt;"", 'Sales (Итоги оценки)'!$C$4, "")</f>
        <v/>
      </c>
      <c r="H203" s="249" t="str">
        <f t="shared" si="5"/>
        <v/>
      </c>
      <c r="I203" s="251">
        <f>IF(OR(ISBLANK('Оценка'!F202), ISBLANK('Оценка'!G202)), "", 
(AVERAGE(
  (
    ('Оценка'!F202 + 4*AVERAGE('Оценка'!F202:G202) + 'Оценка'!G202)/6 - 
    2*(('Оценка'!G202 - 'Оценка'!F202)/6)
  )/5 , 
  (
    ('Оценка'!F202 + 4*AVERAGE('Оценка'!F202:G202) + 'Оценка'!G202)/6 + 
    2*(('Оценка'!G202 - 'Оценка'!F202)/6)
  )/5
) * 
(
  (
    ('PM (Расчеты)'!$C$22/8 + 'PM (Расчеты)'!$C$23/40) + 
    'PM (Расчеты)'!$C$21/100 + 'PM (Расчеты)'!$C$25/100 + 
    'PM (Расчеты)'!$C$26/100
  ) + 1
)))
 * 8 * 60 * 60
</f>
        <v>0</v>
      </c>
      <c r="J203" s="252" t="str">
        <f>'Оценка'!B206</f>
        <v/>
      </c>
      <c r="K203" s="253" t="str">
        <f t="shared" si="6"/>
        <v/>
      </c>
      <c r="L203" s="253" t="str">
        <f t="shared" si="7"/>
        <v/>
      </c>
    </row>
    <row r="204">
      <c r="A204" s="247" t="str">
        <f>'Оценка'!C207</f>
        <v/>
      </c>
      <c r="B204" s="247" t="str">
        <f>'Оценка'!D207</f>
        <v/>
      </c>
      <c r="C204" s="249" t="str">
        <f t="shared" si="1"/>
        <v/>
      </c>
      <c r="D204" s="249" t="str">
        <f t="shared" si="2"/>
        <v/>
      </c>
      <c r="E204" s="249" t="str">
        <f t="shared" si="3"/>
        <v/>
      </c>
      <c r="F204" s="158" t="str">
        <f t="shared" si="4"/>
        <v/>
      </c>
      <c r="G204" s="247" t="str">
        <f>IF(A204&lt;&gt;"", 'Sales (Итоги оценки)'!$C$4, "")</f>
        <v/>
      </c>
      <c r="H204" s="249" t="str">
        <f t="shared" si="5"/>
        <v/>
      </c>
      <c r="I204" s="251">
        <f>IF(OR(ISBLANK('Оценка'!F203), ISBLANK('Оценка'!G203)), "", 
(AVERAGE(
  (
    ('Оценка'!F203 + 4*AVERAGE('Оценка'!F203:G203) + 'Оценка'!G203)/6 - 
    2*(('Оценка'!G203 - 'Оценка'!F203)/6)
  )/5 , 
  (
    ('Оценка'!F203 + 4*AVERAGE('Оценка'!F203:G203) + 'Оценка'!G203)/6 + 
    2*(('Оценка'!G203 - 'Оценка'!F203)/6)
  )/5
) * 
(
  (
    ('PM (Расчеты)'!$C$22/8 + 'PM (Расчеты)'!$C$23/40) + 
    'PM (Расчеты)'!$C$21/100 + 'PM (Расчеты)'!$C$25/100 + 
    'PM (Расчеты)'!$C$26/100
  ) + 1
)))
 * 8 * 60 * 60
</f>
        <v>0</v>
      </c>
      <c r="J204" s="252" t="str">
        <f>'Оценка'!B207</f>
        <v/>
      </c>
      <c r="K204" s="253" t="str">
        <f t="shared" si="6"/>
        <v/>
      </c>
      <c r="L204" s="253" t="str">
        <f t="shared" si="7"/>
        <v/>
      </c>
    </row>
    <row r="205">
      <c r="A205" s="247" t="str">
        <f>'Оценка'!C208</f>
        <v/>
      </c>
      <c r="B205" s="247" t="str">
        <f>'Оценка'!D208</f>
        <v/>
      </c>
      <c r="C205" s="249" t="str">
        <f t="shared" si="1"/>
        <v/>
      </c>
      <c r="D205" s="249" t="str">
        <f t="shared" si="2"/>
        <v/>
      </c>
      <c r="E205" s="249" t="str">
        <f t="shared" si="3"/>
        <v/>
      </c>
      <c r="F205" s="158" t="str">
        <f t="shared" si="4"/>
        <v/>
      </c>
      <c r="G205" s="247" t="str">
        <f>IF(A205&lt;&gt;"", 'Sales (Итоги оценки)'!$C$4, "")</f>
        <v/>
      </c>
      <c r="H205" s="249" t="str">
        <f t="shared" si="5"/>
        <v/>
      </c>
      <c r="I205" s="251">
        <f>IF(OR(ISBLANK('Оценка'!F204), ISBLANK('Оценка'!G204)), "", 
(AVERAGE(
  (
    ('Оценка'!F204 + 4*AVERAGE('Оценка'!F204:G204) + 'Оценка'!G204)/6 - 
    2*(('Оценка'!G204 - 'Оценка'!F204)/6)
  )/5 , 
  (
    ('Оценка'!F204 + 4*AVERAGE('Оценка'!F204:G204) + 'Оценка'!G204)/6 + 
    2*(('Оценка'!G204 - 'Оценка'!F204)/6)
  )/5
) * 
(
  (
    ('PM (Расчеты)'!$C$22/8 + 'PM (Расчеты)'!$C$23/40) + 
    'PM (Расчеты)'!$C$21/100 + 'PM (Расчеты)'!$C$25/100 + 
    'PM (Расчеты)'!$C$26/100
  ) + 1
)))
 * 8 * 60 * 60
</f>
        <v>0</v>
      </c>
      <c r="J205" s="252" t="str">
        <f>'Оценка'!B208</f>
        <v/>
      </c>
      <c r="K205" s="253" t="str">
        <f t="shared" si="6"/>
        <v/>
      </c>
      <c r="L205" s="253" t="str">
        <f t="shared" si="7"/>
        <v/>
      </c>
    </row>
    <row r="206">
      <c r="A206" s="247" t="str">
        <f>'Оценка'!C209</f>
        <v/>
      </c>
      <c r="B206" s="247" t="str">
        <f>'Оценка'!D209</f>
        <v/>
      </c>
      <c r="C206" s="249" t="str">
        <f t="shared" si="1"/>
        <v/>
      </c>
      <c r="D206" s="249" t="str">
        <f t="shared" si="2"/>
        <v/>
      </c>
      <c r="E206" s="249" t="str">
        <f t="shared" si="3"/>
        <v/>
      </c>
      <c r="F206" s="158" t="str">
        <f t="shared" si="4"/>
        <v/>
      </c>
      <c r="G206" s="247" t="str">
        <f>IF(A206&lt;&gt;"", 'Sales (Итоги оценки)'!$C$4, "")</f>
        <v/>
      </c>
      <c r="H206" s="249" t="str">
        <f t="shared" si="5"/>
        <v/>
      </c>
      <c r="I206" s="251">
        <f>IF(OR(ISBLANK('Оценка'!F205), ISBLANK('Оценка'!G205)), "", 
(AVERAGE(
  (
    ('Оценка'!F205 + 4*AVERAGE('Оценка'!F205:G205) + 'Оценка'!G205)/6 - 
    2*(('Оценка'!G205 - 'Оценка'!F205)/6)
  )/5 , 
  (
    ('Оценка'!F205 + 4*AVERAGE('Оценка'!F205:G205) + 'Оценка'!G205)/6 + 
    2*(('Оценка'!G205 - 'Оценка'!F205)/6)
  )/5
) * 
(
  (
    ('PM (Расчеты)'!$C$22/8 + 'PM (Расчеты)'!$C$23/40) + 
    'PM (Расчеты)'!$C$21/100 + 'PM (Расчеты)'!$C$25/100 + 
    'PM (Расчеты)'!$C$26/100
  ) + 1
)))
 * 8 * 60 * 60
</f>
        <v>0</v>
      </c>
      <c r="J206" s="252" t="str">
        <f>'Оценка'!B209</f>
        <v/>
      </c>
      <c r="K206" s="253" t="str">
        <f t="shared" si="6"/>
        <v/>
      </c>
      <c r="L206" s="253" t="str">
        <f t="shared" si="7"/>
        <v/>
      </c>
    </row>
    <row r="207">
      <c r="A207" s="247" t="str">
        <f>'Оценка'!C210</f>
        <v/>
      </c>
      <c r="B207" s="247" t="str">
        <f>'Оценка'!D210</f>
        <v/>
      </c>
      <c r="C207" s="249" t="str">
        <f t="shared" si="1"/>
        <v/>
      </c>
      <c r="D207" s="249" t="str">
        <f t="shared" si="2"/>
        <v/>
      </c>
      <c r="E207" s="249" t="str">
        <f t="shared" si="3"/>
        <v/>
      </c>
      <c r="F207" s="158" t="str">
        <f t="shared" si="4"/>
        <v/>
      </c>
      <c r="G207" s="247" t="str">
        <f>IF(A207&lt;&gt;"", 'Sales (Итоги оценки)'!$C$4, "")</f>
        <v/>
      </c>
      <c r="H207" s="249" t="str">
        <f t="shared" si="5"/>
        <v/>
      </c>
      <c r="I207" s="251">
        <f>IF(OR(ISBLANK('Оценка'!F206), ISBLANK('Оценка'!G206)), "", 
(AVERAGE(
  (
    ('Оценка'!F206 + 4*AVERAGE('Оценка'!F206:G206) + 'Оценка'!G206)/6 - 
    2*(('Оценка'!G206 - 'Оценка'!F206)/6)
  )/5 , 
  (
    ('Оценка'!F206 + 4*AVERAGE('Оценка'!F206:G206) + 'Оценка'!G206)/6 + 
    2*(('Оценка'!G206 - 'Оценка'!F206)/6)
  )/5
) * 
(
  (
    ('PM (Расчеты)'!$C$22/8 + 'PM (Расчеты)'!$C$23/40) + 
    'PM (Расчеты)'!$C$21/100 + 'PM (Расчеты)'!$C$25/100 + 
    'PM (Расчеты)'!$C$26/100
  ) + 1
)))
 * 8 * 60 * 60
</f>
        <v>0</v>
      </c>
      <c r="J207" s="252" t="str">
        <f>'Оценка'!B210</f>
        <v/>
      </c>
      <c r="K207" s="253" t="str">
        <f t="shared" si="6"/>
        <v/>
      </c>
      <c r="L207" s="253" t="str">
        <f t="shared" si="7"/>
        <v/>
      </c>
    </row>
    <row r="208">
      <c r="A208" s="247" t="str">
        <f>'Оценка'!C211</f>
        <v/>
      </c>
      <c r="B208" s="247" t="str">
        <f>'Оценка'!D211</f>
        <v/>
      </c>
      <c r="C208" s="249" t="str">
        <f t="shared" si="1"/>
        <v/>
      </c>
      <c r="D208" s="249" t="str">
        <f t="shared" si="2"/>
        <v/>
      </c>
      <c r="E208" s="249" t="str">
        <f t="shared" si="3"/>
        <v/>
      </c>
      <c r="F208" s="158" t="str">
        <f t="shared" si="4"/>
        <v/>
      </c>
      <c r="G208" s="247" t="str">
        <f>IF(A208&lt;&gt;"", 'Sales (Итоги оценки)'!$C$4, "")</f>
        <v/>
      </c>
      <c r="H208" s="249" t="str">
        <f t="shared" si="5"/>
        <v/>
      </c>
      <c r="I208" s="251">
        <f>IF(OR(ISBLANK('Оценка'!F207), ISBLANK('Оценка'!G207)), "", 
(AVERAGE(
  (
    ('Оценка'!F207 + 4*AVERAGE('Оценка'!F207:G207) + 'Оценка'!G207)/6 - 
    2*(('Оценка'!G207 - 'Оценка'!F207)/6)
  )/5 , 
  (
    ('Оценка'!F207 + 4*AVERAGE('Оценка'!F207:G207) + 'Оценка'!G207)/6 + 
    2*(('Оценка'!G207 - 'Оценка'!F207)/6)
  )/5
) * 
(
  (
    ('PM (Расчеты)'!$C$22/8 + 'PM (Расчеты)'!$C$23/40) + 
    'PM (Расчеты)'!$C$21/100 + 'PM (Расчеты)'!$C$25/100 + 
    'PM (Расчеты)'!$C$26/100
  ) + 1
)))
 * 8 * 60 * 60
</f>
        <v>0</v>
      </c>
      <c r="J208" s="252" t="str">
        <f>'Оценка'!B211</f>
        <v/>
      </c>
      <c r="K208" s="253" t="str">
        <f t="shared" si="6"/>
        <v/>
      </c>
      <c r="L208" s="253" t="str">
        <f t="shared" si="7"/>
        <v/>
      </c>
    </row>
    <row r="209">
      <c r="A209" s="247" t="str">
        <f>'Оценка'!C212</f>
        <v/>
      </c>
      <c r="B209" s="247" t="str">
        <f>'Оценка'!D212</f>
        <v/>
      </c>
      <c r="C209" s="249" t="str">
        <f t="shared" si="1"/>
        <v/>
      </c>
      <c r="D209" s="249" t="str">
        <f t="shared" si="2"/>
        <v/>
      </c>
      <c r="E209" s="249" t="str">
        <f t="shared" si="3"/>
        <v/>
      </c>
      <c r="F209" s="158" t="str">
        <f t="shared" si="4"/>
        <v/>
      </c>
      <c r="G209" s="247" t="str">
        <f>IF(A209&lt;&gt;"", 'Sales (Итоги оценки)'!$C$4, "")</f>
        <v/>
      </c>
      <c r="H209" s="249" t="str">
        <f t="shared" si="5"/>
        <v/>
      </c>
      <c r="I209" s="251">
        <f>IF(OR(ISBLANK('Оценка'!F208), ISBLANK('Оценка'!G208)), "", 
(AVERAGE(
  (
    ('Оценка'!F208 + 4*AVERAGE('Оценка'!F208:G208) + 'Оценка'!G208)/6 - 
    2*(('Оценка'!G208 - 'Оценка'!F208)/6)
  )/5 , 
  (
    ('Оценка'!F208 + 4*AVERAGE('Оценка'!F208:G208) + 'Оценка'!G208)/6 + 
    2*(('Оценка'!G208 - 'Оценка'!F208)/6)
  )/5
) * 
(
  (
    ('PM (Расчеты)'!$C$22/8 + 'PM (Расчеты)'!$C$23/40) + 
    'PM (Расчеты)'!$C$21/100 + 'PM (Расчеты)'!$C$25/100 + 
    'PM (Расчеты)'!$C$26/100
  ) + 1
)))
 * 8 * 60 * 60
</f>
        <v>0</v>
      </c>
      <c r="J209" s="252" t="str">
        <f>'Оценка'!B212</f>
        <v/>
      </c>
      <c r="K209" s="253" t="str">
        <f t="shared" si="6"/>
        <v/>
      </c>
      <c r="L209" s="253" t="str">
        <f t="shared" si="7"/>
        <v/>
      </c>
    </row>
    <row r="210">
      <c r="A210" s="247" t="str">
        <f>'Оценка'!C213</f>
        <v/>
      </c>
      <c r="B210" s="247" t="str">
        <f>'Оценка'!D213</f>
        <v/>
      </c>
      <c r="C210" s="249" t="str">
        <f t="shared" si="1"/>
        <v/>
      </c>
      <c r="D210" s="249" t="str">
        <f t="shared" si="2"/>
        <v/>
      </c>
      <c r="E210" s="249" t="str">
        <f t="shared" si="3"/>
        <v/>
      </c>
      <c r="F210" s="158" t="str">
        <f t="shared" si="4"/>
        <v/>
      </c>
      <c r="G210" s="247" t="str">
        <f>IF(A210&lt;&gt;"", 'Sales (Итоги оценки)'!$C$4, "")</f>
        <v/>
      </c>
      <c r="H210" s="249" t="str">
        <f t="shared" si="5"/>
        <v/>
      </c>
      <c r="I210" s="251">
        <f>IF(OR(ISBLANK('Оценка'!F209), ISBLANK('Оценка'!G209)), "", 
(AVERAGE(
  (
    ('Оценка'!F209 + 4*AVERAGE('Оценка'!F209:G209) + 'Оценка'!G209)/6 - 
    2*(('Оценка'!G209 - 'Оценка'!F209)/6)
  )/5 , 
  (
    ('Оценка'!F209 + 4*AVERAGE('Оценка'!F209:G209) + 'Оценка'!G209)/6 + 
    2*(('Оценка'!G209 - 'Оценка'!F209)/6)
  )/5
) * 
(
  (
    ('PM (Расчеты)'!$C$22/8 + 'PM (Расчеты)'!$C$23/40) + 
    'PM (Расчеты)'!$C$21/100 + 'PM (Расчеты)'!$C$25/100 + 
    'PM (Расчеты)'!$C$26/100
  ) + 1
)))
 * 8 * 60 * 60
</f>
        <v>0</v>
      </c>
      <c r="J210" s="252" t="str">
        <f>'Оценка'!B213</f>
        <v/>
      </c>
      <c r="K210" s="253" t="str">
        <f t="shared" si="6"/>
        <v/>
      </c>
      <c r="L210" s="253" t="str">
        <f t="shared" si="7"/>
        <v/>
      </c>
    </row>
    <row r="211">
      <c r="A211" s="247" t="str">
        <f>'Оценка'!C214</f>
        <v/>
      </c>
      <c r="B211" s="247" t="str">
        <f>'Оценка'!D214</f>
        <v/>
      </c>
      <c r="C211" s="249" t="str">
        <f t="shared" si="1"/>
        <v/>
      </c>
      <c r="D211" s="249" t="str">
        <f t="shared" si="2"/>
        <v/>
      </c>
      <c r="E211" s="249" t="str">
        <f t="shared" si="3"/>
        <v/>
      </c>
      <c r="F211" s="158" t="str">
        <f t="shared" si="4"/>
        <v/>
      </c>
      <c r="G211" s="247" t="str">
        <f>IF(A211&lt;&gt;"", 'Sales (Итоги оценки)'!$C$4, "")</f>
        <v/>
      </c>
      <c r="H211" s="249" t="str">
        <f t="shared" si="5"/>
        <v/>
      </c>
      <c r="I211" s="251">
        <f>IF(OR(ISBLANK('Оценка'!F210), ISBLANK('Оценка'!G210)), "", 
(AVERAGE(
  (
    ('Оценка'!F210 + 4*AVERAGE('Оценка'!F210:G210) + 'Оценка'!G210)/6 - 
    2*(('Оценка'!G210 - 'Оценка'!F210)/6)
  )/5 , 
  (
    ('Оценка'!F210 + 4*AVERAGE('Оценка'!F210:G210) + 'Оценка'!G210)/6 + 
    2*(('Оценка'!G210 - 'Оценка'!F210)/6)
  )/5
) * 
(
  (
    ('PM (Расчеты)'!$C$22/8 + 'PM (Расчеты)'!$C$23/40) + 
    'PM (Расчеты)'!$C$21/100 + 'PM (Расчеты)'!$C$25/100 + 
    'PM (Расчеты)'!$C$26/100
  ) + 1
)))
 * 8 * 60 * 60
</f>
        <v>0</v>
      </c>
      <c r="J211" s="252" t="str">
        <f>'Оценка'!B214</f>
        <v/>
      </c>
      <c r="K211" s="253" t="str">
        <f t="shared" si="6"/>
        <v/>
      </c>
      <c r="L211" s="253" t="str">
        <f t="shared" si="7"/>
        <v/>
      </c>
    </row>
    <row r="212">
      <c r="A212" s="247" t="str">
        <f>'Оценка'!C215</f>
        <v/>
      </c>
      <c r="B212" s="247" t="str">
        <f>'Оценка'!D215</f>
        <v/>
      </c>
      <c r="C212" s="249" t="str">
        <f t="shared" si="1"/>
        <v/>
      </c>
      <c r="D212" s="249" t="str">
        <f t="shared" si="2"/>
        <v/>
      </c>
      <c r="E212" s="249" t="str">
        <f t="shared" si="3"/>
        <v/>
      </c>
      <c r="F212" s="158" t="str">
        <f t="shared" si="4"/>
        <v/>
      </c>
      <c r="G212" s="247" t="str">
        <f>IF(A212&lt;&gt;"", 'Sales (Итоги оценки)'!$C$4, "")</f>
        <v/>
      </c>
      <c r="H212" s="249" t="str">
        <f t="shared" si="5"/>
        <v/>
      </c>
      <c r="I212" s="251">
        <f>IF(OR(ISBLANK('Оценка'!F211), ISBLANK('Оценка'!G211)), "", 
(AVERAGE(
  (
    ('Оценка'!F211 + 4*AVERAGE('Оценка'!F211:G211) + 'Оценка'!G211)/6 - 
    2*(('Оценка'!G211 - 'Оценка'!F211)/6)
  )/5 , 
  (
    ('Оценка'!F211 + 4*AVERAGE('Оценка'!F211:G211) + 'Оценка'!G211)/6 + 
    2*(('Оценка'!G211 - 'Оценка'!F211)/6)
  )/5
) * 
(
  (
    ('PM (Расчеты)'!$C$22/8 + 'PM (Расчеты)'!$C$23/40) + 
    'PM (Расчеты)'!$C$21/100 + 'PM (Расчеты)'!$C$25/100 + 
    'PM (Расчеты)'!$C$26/100
  ) + 1
)))
 * 8 * 60 * 60
</f>
        <v>0</v>
      </c>
      <c r="J212" s="252" t="str">
        <f>'Оценка'!B215</f>
        <v/>
      </c>
      <c r="K212" s="253" t="str">
        <f t="shared" si="6"/>
        <v/>
      </c>
      <c r="L212" s="253" t="str">
        <f t="shared" si="7"/>
        <v/>
      </c>
    </row>
    <row r="213">
      <c r="A213" s="247" t="str">
        <f>'Оценка'!C216</f>
        <v/>
      </c>
      <c r="B213" s="247" t="str">
        <f>'Оценка'!D216</f>
        <v/>
      </c>
      <c r="C213" s="249" t="str">
        <f t="shared" si="1"/>
        <v/>
      </c>
      <c r="D213" s="249" t="str">
        <f t="shared" si="2"/>
        <v/>
      </c>
      <c r="E213" s="249" t="str">
        <f t="shared" si="3"/>
        <v/>
      </c>
      <c r="F213" s="158" t="str">
        <f t="shared" si="4"/>
        <v/>
      </c>
      <c r="G213" s="247" t="str">
        <f>IF(A213&lt;&gt;"", 'Sales (Итоги оценки)'!$C$4, "")</f>
        <v/>
      </c>
      <c r="H213" s="249" t="str">
        <f t="shared" si="5"/>
        <v/>
      </c>
      <c r="I213" s="251">
        <f>IF(OR(ISBLANK('Оценка'!F212), ISBLANK('Оценка'!G212)), "", 
(AVERAGE(
  (
    ('Оценка'!F212 + 4*AVERAGE('Оценка'!F212:G212) + 'Оценка'!G212)/6 - 
    2*(('Оценка'!G212 - 'Оценка'!F212)/6)
  )/5 , 
  (
    ('Оценка'!F212 + 4*AVERAGE('Оценка'!F212:G212) + 'Оценка'!G212)/6 + 
    2*(('Оценка'!G212 - 'Оценка'!F212)/6)
  )/5
) * 
(
  (
    ('PM (Расчеты)'!$C$22/8 + 'PM (Расчеты)'!$C$23/40) + 
    'PM (Расчеты)'!$C$21/100 + 'PM (Расчеты)'!$C$25/100 + 
    'PM (Расчеты)'!$C$26/100
  ) + 1
)))
 * 8 * 60 * 60
</f>
        <v>0</v>
      </c>
      <c r="J213" s="252" t="str">
        <f>'Оценка'!B216</f>
        <v/>
      </c>
      <c r="K213" s="253" t="str">
        <f t="shared" si="6"/>
        <v/>
      </c>
      <c r="L213" s="253" t="str">
        <f t="shared" si="7"/>
        <v/>
      </c>
    </row>
    <row r="214">
      <c r="A214" s="247" t="str">
        <f>'Оценка'!C217</f>
        <v/>
      </c>
      <c r="B214" s="247" t="str">
        <f>'Оценка'!D217</f>
        <v/>
      </c>
      <c r="C214" s="249" t="str">
        <f t="shared" si="1"/>
        <v/>
      </c>
      <c r="D214" s="249" t="str">
        <f t="shared" si="2"/>
        <v/>
      </c>
      <c r="E214" s="249" t="str">
        <f t="shared" si="3"/>
        <v/>
      </c>
      <c r="F214" s="158" t="str">
        <f t="shared" si="4"/>
        <v/>
      </c>
      <c r="G214" s="247" t="str">
        <f>IF(A214&lt;&gt;"", 'Sales (Итоги оценки)'!$C$4, "")</f>
        <v/>
      </c>
      <c r="H214" s="249" t="str">
        <f t="shared" si="5"/>
        <v/>
      </c>
      <c r="I214" s="251">
        <f>IF(OR(ISBLANK('Оценка'!F213), ISBLANK('Оценка'!G213)), "", 
(AVERAGE(
  (
    ('Оценка'!F213 + 4*AVERAGE('Оценка'!F213:G213) + 'Оценка'!G213)/6 - 
    2*(('Оценка'!G213 - 'Оценка'!F213)/6)
  )/5 , 
  (
    ('Оценка'!F213 + 4*AVERAGE('Оценка'!F213:G213) + 'Оценка'!G213)/6 + 
    2*(('Оценка'!G213 - 'Оценка'!F213)/6)
  )/5
) * 
(
  (
    ('PM (Расчеты)'!$C$22/8 + 'PM (Расчеты)'!$C$23/40) + 
    'PM (Расчеты)'!$C$21/100 + 'PM (Расчеты)'!$C$25/100 + 
    'PM (Расчеты)'!$C$26/100
  ) + 1
)))
 * 8 * 60 * 60
</f>
        <v>0</v>
      </c>
      <c r="J214" s="252" t="str">
        <f>'Оценка'!B217</f>
        <v/>
      </c>
      <c r="K214" s="253" t="str">
        <f t="shared" si="6"/>
        <v/>
      </c>
      <c r="L214" s="253" t="str">
        <f t="shared" si="7"/>
        <v/>
      </c>
    </row>
    <row r="215">
      <c r="A215" s="247" t="str">
        <f>'Оценка'!C218</f>
        <v/>
      </c>
      <c r="B215" s="247" t="str">
        <f>'Оценка'!D218</f>
        <v/>
      </c>
      <c r="C215" s="249" t="str">
        <f t="shared" si="1"/>
        <v/>
      </c>
      <c r="D215" s="249" t="str">
        <f t="shared" si="2"/>
        <v/>
      </c>
      <c r="E215" s="249" t="str">
        <f t="shared" si="3"/>
        <v/>
      </c>
      <c r="F215" s="158" t="str">
        <f t="shared" si="4"/>
        <v/>
      </c>
      <c r="G215" s="247" t="str">
        <f>IF(A215&lt;&gt;"", 'Sales (Итоги оценки)'!$C$4, "")</f>
        <v/>
      </c>
      <c r="H215" s="249" t="str">
        <f t="shared" si="5"/>
        <v/>
      </c>
      <c r="I215" s="251">
        <f>IF(OR(ISBLANK('Оценка'!F214), ISBLANK('Оценка'!G214)), "", 
(AVERAGE(
  (
    ('Оценка'!F214 + 4*AVERAGE('Оценка'!F214:G214) + 'Оценка'!G214)/6 - 
    2*(('Оценка'!G214 - 'Оценка'!F214)/6)
  )/5 , 
  (
    ('Оценка'!F214 + 4*AVERAGE('Оценка'!F214:G214) + 'Оценка'!G214)/6 + 
    2*(('Оценка'!G214 - 'Оценка'!F214)/6)
  )/5
) * 
(
  (
    ('PM (Расчеты)'!$C$22/8 + 'PM (Расчеты)'!$C$23/40) + 
    'PM (Расчеты)'!$C$21/100 + 'PM (Расчеты)'!$C$25/100 + 
    'PM (Расчеты)'!$C$26/100
  ) + 1
)))
 * 8 * 60 * 60
</f>
        <v>0</v>
      </c>
      <c r="J215" s="252" t="str">
        <f>'Оценка'!B218</f>
        <v/>
      </c>
      <c r="K215" s="253" t="str">
        <f t="shared" si="6"/>
        <v/>
      </c>
      <c r="L215" s="253" t="str">
        <f t="shared" si="7"/>
        <v/>
      </c>
    </row>
    <row r="216">
      <c r="A216" s="247" t="str">
        <f>'Оценка'!C219</f>
        <v/>
      </c>
      <c r="B216" s="247" t="str">
        <f>'Оценка'!D219</f>
        <v/>
      </c>
      <c r="C216" s="249" t="str">
        <f t="shared" si="1"/>
        <v/>
      </c>
      <c r="D216" s="249" t="str">
        <f t="shared" si="2"/>
        <v/>
      </c>
      <c r="E216" s="249" t="str">
        <f t="shared" si="3"/>
        <v/>
      </c>
      <c r="F216" s="158" t="str">
        <f t="shared" si="4"/>
        <v/>
      </c>
      <c r="G216" s="247" t="str">
        <f>IF(A216&lt;&gt;"", 'Sales (Итоги оценки)'!$C$4, "")</f>
        <v/>
      </c>
      <c r="H216" s="249" t="str">
        <f t="shared" si="5"/>
        <v/>
      </c>
      <c r="I216" s="251">
        <f>IF(OR(ISBLANK('Оценка'!F215), ISBLANK('Оценка'!G215)), "", 
(AVERAGE(
  (
    ('Оценка'!F215 + 4*AVERAGE('Оценка'!F215:G215) + 'Оценка'!G215)/6 - 
    2*(('Оценка'!G215 - 'Оценка'!F215)/6)
  )/5 , 
  (
    ('Оценка'!F215 + 4*AVERAGE('Оценка'!F215:G215) + 'Оценка'!G215)/6 + 
    2*(('Оценка'!G215 - 'Оценка'!F215)/6)
  )/5
) * 
(
  (
    ('PM (Расчеты)'!$C$22/8 + 'PM (Расчеты)'!$C$23/40) + 
    'PM (Расчеты)'!$C$21/100 + 'PM (Расчеты)'!$C$25/100 + 
    'PM (Расчеты)'!$C$26/100
  ) + 1
)))
 * 8 * 60 * 60
</f>
        <v>0</v>
      </c>
      <c r="J216" s="252" t="str">
        <f>'Оценка'!B219</f>
        <v/>
      </c>
      <c r="K216" s="253" t="str">
        <f t="shared" si="6"/>
        <v/>
      </c>
      <c r="L216" s="253" t="str">
        <f t="shared" si="7"/>
        <v/>
      </c>
    </row>
    <row r="217">
      <c r="A217" s="247" t="str">
        <f>'Оценка'!C220</f>
        <v/>
      </c>
      <c r="B217" s="247" t="str">
        <f>'Оценка'!D220</f>
        <v/>
      </c>
      <c r="C217" s="249" t="str">
        <f t="shared" si="1"/>
        <v/>
      </c>
      <c r="D217" s="249" t="str">
        <f t="shared" si="2"/>
        <v/>
      </c>
      <c r="E217" s="249" t="str">
        <f t="shared" si="3"/>
        <v/>
      </c>
      <c r="F217" s="158" t="str">
        <f t="shared" si="4"/>
        <v/>
      </c>
      <c r="G217" s="247" t="str">
        <f>IF(A217&lt;&gt;"", 'Sales (Итоги оценки)'!$C$4, "")</f>
        <v/>
      </c>
      <c r="H217" s="249" t="str">
        <f t="shared" si="5"/>
        <v/>
      </c>
      <c r="I217" s="251">
        <f>IF(OR(ISBLANK('Оценка'!F216), ISBLANK('Оценка'!G216)), "", 
(AVERAGE(
  (
    ('Оценка'!F216 + 4*AVERAGE('Оценка'!F216:G216) + 'Оценка'!G216)/6 - 
    2*(('Оценка'!G216 - 'Оценка'!F216)/6)
  )/5 , 
  (
    ('Оценка'!F216 + 4*AVERAGE('Оценка'!F216:G216) + 'Оценка'!G216)/6 + 
    2*(('Оценка'!G216 - 'Оценка'!F216)/6)
  )/5
) * 
(
  (
    ('PM (Расчеты)'!$C$22/8 + 'PM (Расчеты)'!$C$23/40) + 
    'PM (Расчеты)'!$C$21/100 + 'PM (Расчеты)'!$C$25/100 + 
    'PM (Расчеты)'!$C$26/100
  ) + 1
)))
 * 8 * 60 * 60
</f>
        <v>0</v>
      </c>
      <c r="J217" s="252" t="str">
        <f>'Оценка'!B220</f>
        <v/>
      </c>
      <c r="K217" s="253" t="str">
        <f t="shared" si="6"/>
        <v/>
      </c>
      <c r="L217" s="253" t="str">
        <f t="shared" si="7"/>
        <v/>
      </c>
    </row>
    <row r="218">
      <c r="A218" s="247" t="str">
        <f>'Оценка'!C221</f>
        <v/>
      </c>
      <c r="B218" s="247" t="str">
        <f>'Оценка'!D221</f>
        <v/>
      </c>
      <c r="C218" s="249" t="str">
        <f t="shared" si="1"/>
        <v/>
      </c>
      <c r="D218" s="249" t="str">
        <f t="shared" si="2"/>
        <v/>
      </c>
      <c r="E218" s="249" t="str">
        <f t="shared" si="3"/>
        <v/>
      </c>
      <c r="F218" s="158" t="str">
        <f t="shared" si="4"/>
        <v/>
      </c>
      <c r="G218" s="247" t="str">
        <f>IF(A218&lt;&gt;"", 'Sales (Итоги оценки)'!$C$4, "")</f>
        <v/>
      </c>
      <c r="H218" s="249" t="str">
        <f t="shared" si="5"/>
        <v/>
      </c>
      <c r="I218" s="251">
        <f>IF(OR(ISBLANK('Оценка'!F217), ISBLANK('Оценка'!G217)), "", 
(AVERAGE(
  (
    ('Оценка'!F217 + 4*AVERAGE('Оценка'!F217:G217) + 'Оценка'!G217)/6 - 
    2*(('Оценка'!G217 - 'Оценка'!F217)/6)
  )/5 , 
  (
    ('Оценка'!F217 + 4*AVERAGE('Оценка'!F217:G217) + 'Оценка'!G217)/6 + 
    2*(('Оценка'!G217 - 'Оценка'!F217)/6)
  )/5
) * 
(
  (
    ('PM (Расчеты)'!$C$22/8 + 'PM (Расчеты)'!$C$23/40) + 
    'PM (Расчеты)'!$C$21/100 + 'PM (Расчеты)'!$C$25/100 + 
    'PM (Расчеты)'!$C$26/100
  ) + 1
)))
 * 8 * 60 * 60
</f>
        <v>0</v>
      </c>
      <c r="J218" s="252" t="str">
        <f>'Оценка'!B221</f>
        <v/>
      </c>
      <c r="K218" s="253" t="str">
        <f t="shared" si="6"/>
        <v/>
      </c>
      <c r="L218" s="253" t="str">
        <f t="shared" si="7"/>
        <v/>
      </c>
    </row>
    <row r="219">
      <c r="A219" s="247" t="str">
        <f>'Оценка'!C222</f>
        <v/>
      </c>
      <c r="B219" s="247" t="str">
        <f>'Оценка'!D222</f>
        <v/>
      </c>
      <c r="C219" s="249" t="str">
        <f t="shared" si="1"/>
        <v/>
      </c>
      <c r="D219" s="249" t="str">
        <f t="shared" si="2"/>
        <v/>
      </c>
      <c r="E219" s="249" t="str">
        <f t="shared" si="3"/>
        <v/>
      </c>
      <c r="F219" s="158" t="str">
        <f t="shared" si="4"/>
        <v/>
      </c>
      <c r="G219" s="247" t="str">
        <f>IF(A219&lt;&gt;"", 'Sales (Итоги оценки)'!$C$4, "")</f>
        <v/>
      </c>
      <c r="H219" s="249" t="str">
        <f t="shared" si="5"/>
        <v/>
      </c>
      <c r="I219" s="251">
        <f>IF(OR(ISBLANK('Оценка'!F218), ISBLANK('Оценка'!G218)), "", 
(AVERAGE(
  (
    ('Оценка'!F218 + 4*AVERAGE('Оценка'!F218:G218) + 'Оценка'!G218)/6 - 
    2*(('Оценка'!G218 - 'Оценка'!F218)/6)
  )/5 , 
  (
    ('Оценка'!F218 + 4*AVERAGE('Оценка'!F218:G218) + 'Оценка'!G218)/6 + 
    2*(('Оценка'!G218 - 'Оценка'!F218)/6)
  )/5
) * 
(
  (
    ('PM (Расчеты)'!$C$22/8 + 'PM (Расчеты)'!$C$23/40) + 
    'PM (Расчеты)'!$C$21/100 + 'PM (Расчеты)'!$C$25/100 + 
    'PM (Расчеты)'!$C$26/100
  ) + 1
)))
 * 8 * 60 * 60
</f>
        <v>0</v>
      </c>
      <c r="J219" s="252" t="str">
        <f>'Оценка'!B222</f>
        <v/>
      </c>
      <c r="K219" s="253" t="str">
        <f t="shared" si="6"/>
        <v/>
      </c>
      <c r="L219" s="253" t="str">
        <f t="shared" si="7"/>
        <v/>
      </c>
    </row>
    <row r="220">
      <c r="A220" s="247" t="str">
        <f>'Оценка'!C223</f>
        <v/>
      </c>
      <c r="B220" s="247" t="str">
        <f>'Оценка'!D223</f>
        <v/>
      </c>
      <c r="C220" s="249" t="str">
        <f t="shared" si="1"/>
        <v/>
      </c>
      <c r="D220" s="249" t="str">
        <f t="shared" si="2"/>
        <v/>
      </c>
      <c r="E220" s="249" t="str">
        <f t="shared" si="3"/>
        <v/>
      </c>
      <c r="F220" s="158" t="str">
        <f t="shared" si="4"/>
        <v/>
      </c>
      <c r="G220" s="247" t="str">
        <f>IF(A220&lt;&gt;"", 'Sales (Итоги оценки)'!$C$4, "")</f>
        <v/>
      </c>
      <c r="H220" s="249" t="str">
        <f t="shared" si="5"/>
        <v/>
      </c>
      <c r="I220" s="251">
        <f>IF(OR(ISBLANK('Оценка'!F219), ISBLANK('Оценка'!G219)), "", 
(AVERAGE(
  (
    ('Оценка'!F219 + 4*AVERAGE('Оценка'!F219:G219) + 'Оценка'!G219)/6 - 
    2*(('Оценка'!G219 - 'Оценка'!F219)/6)
  )/5 , 
  (
    ('Оценка'!F219 + 4*AVERAGE('Оценка'!F219:G219) + 'Оценка'!G219)/6 + 
    2*(('Оценка'!G219 - 'Оценка'!F219)/6)
  )/5
) * 
(
  (
    ('PM (Расчеты)'!$C$22/8 + 'PM (Расчеты)'!$C$23/40) + 
    'PM (Расчеты)'!$C$21/100 + 'PM (Расчеты)'!$C$25/100 + 
    'PM (Расчеты)'!$C$26/100
  ) + 1
)))
 * 8 * 60 * 60
</f>
        <v>0</v>
      </c>
      <c r="J220" s="252" t="str">
        <f>'Оценка'!B223</f>
        <v/>
      </c>
      <c r="K220" s="253" t="str">
        <f t="shared" si="6"/>
        <v/>
      </c>
      <c r="L220" s="253" t="str">
        <f t="shared" si="7"/>
        <v/>
      </c>
    </row>
    <row r="221">
      <c r="A221" s="247" t="str">
        <f>'Оценка'!C224</f>
        <v/>
      </c>
      <c r="B221" s="247" t="str">
        <f>'Оценка'!D224</f>
        <v/>
      </c>
      <c r="C221" s="249" t="str">
        <f t="shared" si="1"/>
        <v/>
      </c>
      <c r="D221" s="249" t="str">
        <f t="shared" si="2"/>
        <v/>
      </c>
      <c r="E221" s="249" t="str">
        <f t="shared" si="3"/>
        <v/>
      </c>
      <c r="F221" s="158" t="str">
        <f t="shared" si="4"/>
        <v/>
      </c>
      <c r="G221" s="247" t="str">
        <f>IF(A221&lt;&gt;"", 'Sales (Итоги оценки)'!$C$4, "")</f>
        <v/>
      </c>
      <c r="H221" s="249" t="str">
        <f t="shared" si="5"/>
        <v/>
      </c>
      <c r="I221" s="251">
        <f>IF(OR(ISBLANK('Оценка'!F220), ISBLANK('Оценка'!G220)), "", 
(AVERAGE(
  (
    ('Оценка'!F220 + 4*AVERAGE('Оценка'!F220:G220) + 'Оценка'!G220)/6 - 
    2*(('Оценка'!G220 - 'Оценка'!F220)/6)
  )/5 , 
  (
    ('Оценка'!F220 + 4*AVERAGE('Оценка'!F220:G220) + 'Оценка'!G220)/6 + 
    2*(('Оценка'!G220 - 'Оценка'!F220)/6)
  )/5
) * 
(
  (
    ('PM (Расчеты)'!$C$22/8 + 'PM (Расчеты)'!$C$23/40) + 
    'PM (Расчеты)'!$C$21/100 + 'PM (Расчеты)'!$C$25/100 + 
    'PM (Расчеты)'!$C$26/100
  ) + 1
)))
 * 8 * 60 * 60
</f>
        <v>0</v>
      </c>
      <c r="J221" s="252" t="str">
        <f>'Оценка'!B224</f>
        <v/>
      </c>
      <c r="K221" s="253" t="str">
        <f t="shared" si="6"/>
        <v/>
      </c>
      <c r="L221" s="253" t="str">
        <f t="shared" si="7"/>
        <v/>
      </c>
    </row>
    <row r="222">
      <c r="A222" s="247" t="str">
        <f>'Оценка'!C225</f>
        <v/>
      </c>
      <c r="B222" s="247" t="str">
        <f>'Оценка'!D225</f>
        <v/>
      </c>
      <c r="C222" s="249" t="str">
        <f t="shared" si="1"/>
        <v/>
      </c>
      <c r="D222" s="249" t="str">
        <f t="shared" si="2"/>
        <v/>
      </c>
      <c r="E222" s="249" t="str">
        <f t="shared" si="3"/>
        <v/>
      </c>
      <c r="F222" s="158" t="str">
        <f t="shared" si="4"/>
        <v/>
      </c>
      <c r="G222" s="247" t="str">
        <f>IF(A222&lt;&gt;"", 'Sales (Итоги оценки)'!$C$4, "")</f>
        <v/>
      </c>
      <c r="H222" s="249" t="str">
        <f t="shared" si="5"/>
        <v/>
      </c>
      <c r="I222" s="251">
        <f>IF(OR(ISBLANK('Оценка'!F221), ISBLANK('Оценка'!G221)), "", 
(AVERAGE(
  (
    ('Оценка'!F221 + 4*AVERAGE('Оценка'!F221:G221) + 'Оценка'!G221)/6 - 
    2*(('Оценка'!G221 - 'Оценка'!F221)/6)
  )/5 , 
  (
    ('Оценка'!F221 + 4*AVERAGE('Оценка'!F221:G221) + 'Оценка'!G221)/6 + 
    2*(('Оценка'!G221 - 'Оценка'!F221)/6)
  )/5
) * 
(
  (
    ('PM (Расчеты)'!$C$22/8 + 'PM (Расчеты)'!$C$23/40) + 
    'PM (Расчеты)'!$C$21/100 + 'PM (Расчеты)'!$C$25/100 + 
    'PM (Расчеты)'!$C$26/100
  ) + 1
)))
 * 8 * 60 * 60
</f>
        <v>0</v>
      </c>
      <c r="J222" s="252" t="str">
        <f>'Оценка'!B225</f>
        <v/>
      </c>
      <c r="K222" s="253" t="str">
        <f t="shared" si="6"/>
        <v/>
      </c>
      <c r="L222" s="253" t="str">
        <f t="shared" si="7"/>
        <v/>
      </c>
    </row>
    <row r="223">
      <c r="A223" s="247" t="str">
        <f>'Оценка'!C226</f>
        <v/>
      </c>
      <c r="B223" s="247" t="str">
        <f>'Оценка'!D226</f>
        <v/>
      </c>
      <c r="C223" s="249" t="str">
        <f t="shared" si="1"/>
        <v/>
      </c>
      <c r="D223" s="249" t="str">
        <f t="shared" si="2"/>
        <v/>
      </c>
      <c r="E223" s="249" t="str">
        <f t="shared" si="3"/>
        <v/>
      </c>
      <c r="F223" s="158" t="str">
        <f t="shared" si="4"/>
        <v/>
      </c>
      <c r="G223" s="247" t="str">
        <f>IF(A223&lt;&gt;"", 'Sales (Итоги оценки)'!$C$4, "")</f>
        <v/>
      </c>
      <c r="H223" s="249" t="str">
        <f t="shared" si="5"/>
        <v/>
      </c>
      <c r="I223" s="251">
        <f>IF(OR(ISBLANK('Оценка'!F222), ISBLANK('Оценка'!G222)), "", 
(AVERAGE(
  (
    ('Оценка'!F222 + 4*AVERAGE('Оценка'!F222:G222) + 'Оценка'!G222)/6 - 
    2*(('Оценка'!G222 - 'Оценка'!F222)/6)
  )/5 , 
  (
    ('Оценка'!F222 + 4*AVERAGE('Оценка'!F222:G222) + 'Оценка'!G222)/6 + 
    2*(('Оценка'!G222 - 'Оценка'!F222)/6)
  )/5
) * 
(
  (
    ('PM (Расчеты)'!$C$22/8 + 'PM (Расчеты)'!$C$23/40) + 
    'PM (Расчеты)'!$C$21/100 + 'PM (Расчеты)'!$C$25/100 + 
    'PM (Расчеты)'!$C$26/100
  ) + 1
)))
 * 8 * 60 * 60
</f>
        <v>0</v>
      </c>
      <c r="J223" s="252" t="str">
        <f>'Оценка'!B226</f>
        <v/>
      </c>
      <c r="K223" s="253" t="str">
        <f t="shared" si="6"/>
        <v/>
      </c>
      <c r="L223" s="253" t="str">
        <f t="shared" si="7"/>
        <v/>
      </c>
    </row>
    <row r="224">
      <c r="A224" s="247" t="str">
        <f>'Оценка'!C227</f>
        <v/>
      </c>
      <c r="B224" s="247" t="str">
        <f>'Оценка'!D227</f>
        <v/>
      </c>
      <c r="C224" s="249" t="str">
        <f t="shared" si="1"/>
        <v/>
      </c>
      <c r="D224" s="249" t="str">
        <f t="shared" si="2"/>
        <v/>
      </c>
      <c r="E224" s="249" t="str">
        <f t="shared" si="3"/>
        <v/>
      </c>
      <c r="F224" s="158" t="str">
        <f t="shared" si="4"/>
        <v/>
      </c>
      <c r="G224" s="247" t="str">
        <f>IF(A224&lt;&gt;"", 'Sales (Итоги оценки)'!$C$4, "")</f>
        <v/>
      </c>
      <c r="H224" s="249" t="str">
        <f t="shared" si="5"/>
        <v/>
      </c>
      <c r="I224" s="251">
        <f>IF(OR(ISBLANK('Оценка'!F223), ISBLANK('Оценка'!G223)), "", 
(AVERAGE(
  (
    ('Оценка'!F223 + 4*AVERAGE('Оценка'!F223:G223) + 'Оценка'!G223)/6 - 
    2*(('Оценка'!G223 - 'Оценка'!F223)/6)
  )/5 , 
  (
    ('Оценка'!F223 + 4*AVERAGE('Оценка'!F223:G223) + 'Оценка'!G223)/6 + 
    2*(('Оценка'!G223 - 'Оценка'!F223)/6)
  )/5
) * 
(
  (
    ('PM (Расчеты)'!$C$22/8 + 'PM (Расчеты)'!$C$23/40) + 
    'PM (Расчеты)'!$C$21/100 + 'PM (Расчеты)'!$C$25/100 + 
    'PM (Расчеты)'!$C$26/100
  ) + 1
)))
 * 8 * 60 * 60
</f>
        <v>0</v>
      </c>
      <c r="J224" s="252" t="str">
        <f>'Оценка'!B227</f>
        <v/>
      </c>
      <c r="K224" s="253" t="str">
        <f t="shared" si="6"/>
        <v/>
      </c>
      <c r="L224" s="253" t="str">
        <f t="shared" si="7"/>
        <v/>
      </c>
    </row>
    <row r="225">
      <c r="A225" s="247" t="str">
        <f>'Оценка'!C228</f>
        <v/>
      </c>
      <c r="B225" s="247" t="str">
        <f>'Оценка'!D228</f>
        <v/>
      </c>
      <c r="C225" s="249" t="str">
        <f t="shared" si="1"/>
        <v/>
      </c>
      <c r="D225" s="249" t="str">
        <f t="shared" si="2"/>
        <v/>
      </c>
      <c r="E225" s="249" t="str">
        <f t="shared" si="3"/>
        <v/>
      </c>
      <c r="F225" s="158" t="str">
        <f t="shared" si="4"/>
        <v/>
      </c>
      <c r="G225" s="247" t="str">
        <f>IF(A225&lt;&gt;"", 'Sales (Итоги оценки)'!$C$4, "")</f>
        <v/>
      </c>
      <c r="H225" s="249" t="str">
        <f t="shared" si="5"/>
        <v/>
      </c>
      <c r="I225" s="251">
        <f>IF(OR(ISBLANK('Оценка'!F224), ISBLANK('Оценка'!G224)), "", 
(AVERAGE(
  (
    ('Оценка'!F224 + 4*AVERAGE('Оценка'!F224:G224) + 'Оценка'!G224)/6 - 
    2*(('Оценка'!G224 - 'Оценка'!F224)/6)
  )/5 , 
  (
    ('Оценка'!F224 + 4*AVERAGE('Оценка'!F224:G224) + 'Оценка'!G224)/6 + 
    2*(('Оценка'!G224 - 'Оценка'!F224)/6)
  )/5
) * 
(
  (
    ('PM (Расчеты)'!$C$22/8 + 'PM (Расчеты)'!$C$23/40) + 
    'PM (Расчеты)'!$C$21/100 + 'PM (Расчеты)'!$C$25/100 + 
    'PM (Расчеты)'!$C$26/100
  ) + 1
)))
 * 8 * 60 * 60
</f>
        <v>0</v>
      </c>
      <c r="J225" s="252" t="str">
        <f>'Оценка'!B228</f>
        <v/>
      </c>
      <c r="K225" s="253" t="str">
        <f t="shared" si="6"/>
        <v/>
      </c>
      <c r="L225" s="253" t="str">
        <f t="shared" si="7"/>
        <v/>
      </c>
    </row>
    <row r="226">
      <c r="A226" s="247" t="str">
        <f>'Оценка'!C229</f>
        <v/>
      </c>
      <c r="B226" s="247" t="str">
        <f>'Оценка'!D229</f>
        <v/>
      </c>
      <c r="C226" s="249" t="str">
        <f t="shared" si="1"/>
        <v/>
      </c>
      <c r="D226" s="249" t="str">
        <f t="shared" si="2"/>
        <v/>
      </c>
      <c r="E226" s="249" t="str">
        <f t="shared" si="3"/>
        <v/>
      </c>
      <c r="F226" s="158" t="str">
        <f t="shared" si="4"/>
        <v/>
      </c>
      <c r="G226" s="247" t="str">
        <f>IF(A226&lt;&gt;"", 'Sales (Итоги оценки)'!$C$4, "")</f>
        <v/>
      </c>
      <c r="H226" s="249" t="str">
        <f t="shared" si="5"/>
        <v/>
      </c>
      <c r="I226" s="251">
        <f>IF(OR(ISBLANK('Оценка'!F225), ISBLANK('Оценка'!G225)), "", 
(AVERAGE(
  (
    ('Оценка'!F225 + 4*AVERAGE('Оценка'!F225:G225) + 'Оценка'!G225)/6 - 
    2*(('Оценка'!G225 - 'Оценка'!F225)/6)
  )/5 , 
  (
    ('Оценка'!F225 + 4*AVERAGE('Оценка'!F225:G225) + 'Оценка'!G225)/6 + 
    2*(('Оценка'!G225 - 'Оценка'!F225)/6)
  )/5
) * 
(
  (
    ('PM (Расчеты)'!$C$22/8 + 'PM (Расчеты)'!$C$23/40) + 
    'PM (Расчеты)'!$C$21/100 + 'PM (Расчеты)'!$C$25/100 + 
    'PM (Расчеты)'!$C$26/100
  ) + 1
)))
 * 8 * 60 * 60
</f>
        <v>0</v>
      </c>
      <c r="J226" s="252" t="str">
        <f>'Оценка'!B229</f>
        <v/>
      </c>
      <c r="K226" s="253" t="str">
        <f t="shared" si="6"/>
        <v/>
      </c>
      <c r="L226" s="253" t="str">
        <f t="shared" si="7"/>
        <v/>
      </c>
    </row>
    <row r="227">
      <c r="A227" s="247" t="str">
        <f>'Оценка'!C230</f>
        <v/>
      </c>
      <c r="B227" s="247" t="str">
        <f>'Оценка'!D230</f>
        <v/>
      </c>
      <c r="C227" s="249" t="str">
        <f t="shared" si="1"/>
        <v/>
      </c>
      <c r="D227" s="249" t="str">
        <f t="shared" si="2"/>
        <v/>
      </c>
      <c r="E227" s="249" t="str">
        <f t="shared" si="3"/>
        <v/>
      </c>
      <c r="F227" s="158" t="str">
        <f t="shared" si="4"/>
        <v/>
      </c>
      <c r="G227" s="247" t="str">
        <f>IF(A227&lt;&gt;"", 'Sales (Итоги оценки)'!$C$4, "")</f>
        <v/>
      </c>
      <c r="H227" s="249" t="str">
        <f t="shared" si="5"/>
        <v/>
      </c>
      <c r="I227" s="251">
        <f>IF(OR(ISBLANK('Оценка'!F226), ISBLANK('Оценка'!G226)), "", 
(AVERAGE(
  (
    ('Оценка'!F226 + 4*AVERAGE('Оценка'!F226:G226) + 'Оценка'!G226)/6 - 
    2*(('Оценка'!G226 - 'Оценка'!F226)/6)
  )/5 , 
  (
    ('Оценка'!F226 + 4*AVERAGE('Оценка'!F226:G226) + 'Оценка'!G226)/6 + 
    2*(('Оценка'!G226 - 'Оценка'!F226)/6)
  )/5
) * 
(
  (
    ('PM (Расчеты)'!$C$22/8 + 'PM (Расчеты)'!$C$23/40) + 
    'PM (Расчеты)'!$C$21/100 + 'PM (Расчеты)'!$C$25/100 + 
    'PM (Расчеты)'!$C$26/100
  ) + 1
)))
 * 8 * 60 * 60
</f>
        <v>0</v>
      </c>
      <c r="J227" s="252" t="str">
        <f>'Оценка'!B230</f>
        <v/>
      </c>
      <c r="K227" s="253" t="str">
        <f t="shared" si="6"/>
        <v/>
      </c>
      <c r="L227" s="253" t="str">
        <f t="shared" si="7"/>
        <v/>
      </c>
    </row>
    <row r="228">
      <c r="A228" s="247" t="str">
        <f>'Оценка'!C231</f>
        <v/>
      </c>
      <c r="B228" s="247" t="str">
        <f>'Оценка'!D231</f>
        <v/>
      </c>
      <c r="C228" s="249" t="str">
        <f t="shared" si="1"/>
        <v/>
      </c>
      <c r="D228" s="249" t="str">
        <f t="shared" si="2"/>
        <v/>
      </c>
      <c r="E228" s="249" t="str">
        <f t="shared" si="3"/>
        <v/>
      </c>
      <c r="F228" s="158" t="str">
        <f t="shared" si="4"/>
        <v/>
      </c>
      <c r="G228" s="247" t="str">
        <f>IF(A228&lt;&gt;"", 'Sales (Итоги оценки)'!$C$4, "")</f>
        <v/>
      </c>
      <c r="H228" s="249" t="str">
        <f t="shared" si="5"/>
        <v/>
      </c>
      <c r="I228" s="251">
        <f>IF(OR(ISBLANK('Оценка'!F227), ISBLANK('Оценка'!G227)), "", 
(AVERAGE(
  (
    ('Оценка'!F227 + 4*AVERAGE('Оценка'!F227:G227) + 'Оценка'!G227)/6 - 
    2*(('Оценка'!G227 - 'Оценка'!F227)/6)
  )/5 , 
  (
    ('Оценка'!F227 + 4*AVERAGE('Оценка'!F227:G227) + 'Оценка'!G227)/6 + 
    2*(('Оценка'!G227 - 'Оценка'!F227)/6)
  )/5
) * 
(
  (
    ('PM (Расчеты)'!$C$22/8 + 'PM (Расчеты)'!$C$23/40) + 
    'PM (Расчеты)'!$C$21/100 + 'PM (Расчеты)'!$C$25/100 + 
    'PM (Расчеты)'!$C$26/100
  ) + 1
)))
 * 8 * 60 * 60
</f>
        <v>0</v>
      </c>
      <c r="J228" s="252" t="str">
        <f>'Оценка'!B231</f>
        <v/>
      </c>
      <c r="K228" s="253" t="str">
        <f t="shared" si="6"/>
        <v/>
      </c>
      <c r="L228" s="253" t="str">
        <f t="shared" si="7"/>
        <v/>
      </c>
    </row>
    <row r="229">
      <c r="A229" s="247" t="str">
        <f>'Оценка'!C232</f>
        <v/>
      </c>
      <c r="B229" s="247" t="str">
        <f>'Оценка'!D232</f>
        <v/>
      </c>
      <c r="C229" s="249" t="str">
        <f t="shared" si="1"/>
        <v/>
      </c>
      <c r="D229" s="249" t="str">
        <f t="shared" si="2"/>
        <v/>
      </c>
      <c r="E229" s="249" t="str">
        <f t="shared" si="3"/>
        <v/>
      </c>
      <c r="F229" s="158" t="str">
        <f t="shared" si="4"/>
        <v/>
      </c>
      <c r="G229" s="247" t="str">
        <f>IF(A229&lt;&gt;"", 'Sales (Итоги оценки)'!$C$4, "")</f>
        <v/>
      </c>
      <c r="H229" s="249" t="str">
        <f t="shared" si="5"/>
        <v/>
      </c>
      <c r="I229" s="251">
        <f>IF(OR(ISBLANK('Оценка'!F228), ISBLANK('Оценка'!G228)), "", 
(AVERAGE(
  (
    ('Оценка'!F228 + 4*AVERAGE('Оценка'!F228:G228) + 'Оценка'!G228)/6 - 
    2*(('Оценка'!G228 - 'Оценка'!F228)/6)
  )/5 , 
  (
    ('Оценка'!F228 + 4*AVERAGE('Оценка'!F228:G228) + 'Оценка'!G228)/6 + 
    2*(('Оценка'!G228 - 'Оценка'!F228)/6)
  )/5
) * 
(
  (
    ('PM (Расчеты)'!$C$22/8 + 'PM (Расчеты)'!$C$23/40) + 
    'PM (Расчеты)'!$C$21/100 + 'PM (Расчеты)'!$C$25/100 + 
    'PM (Расчеты)'!$C$26/100
  ) + 1
)))
 * 8 * 60 * 60
</f>
        <v>0</v>
      </c>
      <c r="J229" s="252" t="str">
        <f>'Оценка'!B232</f>
        <v/>
      </c>
      <c r="K229" s="253" t="str">
        <f t="shared" si="6"/>
        <v/>
      </c>
      <c r="L229" s="253" t="str">
        <f t="shared" si="7"/>
        <v/>
      </c>
    </row>
    <row r="230">
      <c r="A230" s="247" t="str">
        <f>'Оценка'!C233</f>
        <v/>
      </c>
      <c r="B230" s="247" t="str">
        <f>'Оценка'!D233</f>
        <v/>
      </c>
      <c r="C230" s="249" t="str">
        <f t="shared" si="1"/>
        <v/>
      </c>
      <c r="D230" s="249" t="str">
        <f t="shared" si="2"/>
        <v/>
      </c>
      <c r="E230" s="249" t="str">
        <f t="shared" si="3"/>
        <v/>
      </c>
      <c r="F230" s="158" t="str">
        <f t="shared" si="4"/>
        <v/>
      </c>
      <c r="G230" s="247" t="str">
        <f>IF(A230&lt;&gt;"", 'Sales (Итоги оценки)'!$C$4, "")</f>
        <v/>
      </c>
      <c r="H230" s="249" t="str">
        <f t="shared" si="5"/>
        <v/>
      </c>
      <c r="I230" s="251">
        <f>IF(OR(ISBLANK('Оценка'!F229), ISBLANK('Оценка'!G229)), "", 
(AVERAGE(
  (
    ('Оценка'!F229 + 4*AVERAGE('Оценка'!F229:G229) + 'Оценка'!G229)/6 - 
    2*(('Оценка'!G229 - 'Оценка'!F229)/6)
  )/5 , 
  (
    ('Оценка'!F229 + 4*AVERAGE('Оценка'!F229:G229) + 'Оценка'!G229)/6 + 
    2*(('Оценка'!G229 - 'Оценка'!F229)/6)
  )/5
) * 
(
  (
    ('PM (Расчеты)'!$C$22/8 + 'PM (Расчеты)'!$C$23/40) + 
    'PM (Расчеты)'!$C$21/100 + 'PM (Расчеты)'!$C$25/100 + 
    'PM (Расчеты)'!$C$26/100
  ) + 1
)))
 * 8 * 60 * 60
</f>
        <v>0</v>
      </c>
      <c r="J230" s="252" t="str">
        <f>'Оценка'!B233</f>
        <v/>
      </c>
      <c r="K230" s="253" t="str">
        <f t="shared" si="6"/>
        <v/>
      </c>
      <c r="L230" s="253" t="str">
        <f t="shared" si="7"/>
        <v/>
      </c>
    </row>
    <row r="231">
      <c r="A231" s="247" t="str">
        <f>'Оценка'!C234</f>
        <v/>
      </c>
      <c r="B231" s="247" t="str">
        <f>'Оценка'!D234</f>
        <v/>
      </c>
      <c r="C231" s="249" t="str">
        <f t="shared" si="1"/>
        <v/>
      </c>
      <c r="D231" s="249" t="str">
        <f t="shared" si="2"/>
        <v/>
      </c>
      <c r="E231" s="249" t="str">
        <f t="shared" si="3"/>
        <v/>
      </c>
      <c r="F231" s="158" t="str">
        <f t="shared" si="4"/>
        <v/>
      </c>
      <c r="G231" s="247" t="str">
        <f>IF(A231&lt;&gt;"", 'Sales (Итоги оценки)'!$C$4, "")</f>
        <v/>
      </c>
      <c r="H231" s="249" t="str">
        <f t="shared" si="5"/>
        <v/>
      </c>
      <c r="I231" s="251">
        <f>IF(OR(ISBLANK('Оценка'!F230), ISBLANK('Оценка'!G230)), "", 
(AVERAGE(
  (
    ('Оценка'!F230 + 4*AVERAGE('Оценка'!F230:G230) + 'Оценка'!G230)/6 - 
    2*(('Оценка'!G230 - 'Оценка'!F230)/6)
  )/5 , 
  (
    ('Оценка'!F230 + 4*AVERAGE('Оценка'!F230:G230) + 'Оценка'!G230)/6 + 
    2*(('Оценка'!G230 - 'Оценка'!F230)/6)
  )/5
) * 
(
  (
    ('PM (Расчеты)'!$C$22/8 + 'PM (Расчеты)'!$C$23/40) + 
    'PM (Расчеты)'!$C$21/100 + 'PM (Расчеты)'!$C$25/100 + 
    'PM (Расчеты)'!$C$26/100
  ) + 1
)))
 * 8 * 60 * 60
</f>
        <v>0</v>
      </c>
      <c r="J231" s="252" t="str">
        <f>'Оценка'!B234</f>
        <v/>
      </c>
      <c r="K231" s="253" t="str">
        <f t="shared" si="6"/>
        <v/>
      </c>
      <c r="L231" s="253" t="str">
        <f t="shared" si="7"/>
        <v/>
      </c>
    </row>
    <row r="232">
      <c r="A232" s="247" t="str">
        <f>'Оценка'!C235</f>
        <v/>
      </c>
      <c r="B232" s="247" t="str">
        <f>'Оценка'!D235</f>
        <v/>
      </c>
      <c r="C232" s="249" t="str">
        <f t="shared" si="1"/>
        <v/>
      </c>
      <c r="D232" s="249" t="str">
        <f t="shared" si="2"/>
        <v/>
      </c>
      <c r="E232" s="249" t="str">
        <f t="shared" si="3"/>
        <v/>
      </c>
      <c r="F232" s="158" t="str">
        <f t="shared" si="4"/>
        <v/>
      </c>
      <c r="G232" s="247" t="str">
        <f>IF(A232&lt;&gt;"", 'Sales (Итоги оценки)'!$C$4, "")</f>
        <v/>
      </c>
      <c r="H232" s="249" t="str">
        <f t="shared" si="5"/>
        <v/>
      </c>
      <c r="I232" s="251">
        <f>IF(OR(ISBLANK('Оценка'!F231), ISBLANK('Оценка'!G231)), "", 
(AVERAGE(
  (
    ('Оценка'!F231 + 4*AVERAGE('Оценка'!F231:G231) + 'Оценка'!G231)/6 - 
    2*(('Оценка'!G231 - 'Оценка'!F231)/6)
  )/5 , 
  (
    ('Оценка'!F231 + 4*AVERAGE('Оценка'!F231:G231) + 'Оценка'!G231)/6 + 
    2*(('Оценка'!G231 - 'Оценка'!F231)/6)
  )/5
) * 
(
  (
    ('PM (Расчеты)'!$C$22/8 + 'PM (Расчеты)'!$C$23/40) + 
    'PM (Расчеты)'!$C$21/100 + 'PM (Расчеты)'!$C$25/100 + 
    'PM (Расчеты)'!$C$26/100
  ) + 1
)))
 * 8 * 60 * 60
</f>
        <v>0</v>
      </c>
      <c r="J232" s="252" t="str">
        <f>'Оценка'!B235</f>
        <v/>
      </c>
      <c r="K232" s="253" t="str">
        <f t="shared" si="6"/>
        <v/>
      </c>
      <c r="L232" s="253" t="str">
        <f t="shared" si="7"/>
        <v/>
      </c>
    </row>
    <row r="233">
      <c r="A233" s="247" t="str">
        <f>'Оценка'!C236</f>
        <v/>
      </c>
      <c r="B233" s="247" t="str">
        <f>'Оценка'!D236</f>
        <v/>
      </c>
      <c r="C233" s="249" t="str">
        <f t="shared" si="1"/>
        <v/>
      </c>
      <c r="D233" s="249" t="str">
        <f t="shared" si="2"/>
        <v/>
      </c>
      <c r="E233" s="249" t="str">
        <f t="shared" si="3"/>
        <v/>
      </c>
      <c r="F233" s="158" t="str">
        <f t="shared" si="4"/>
        <v/>
      </c>
      <c r="G233" s="247" t="str">
        <f>IF(A233&lt;&gt;"", 'Sales (Итоги оценки)'!$C$4, "")</f>
        <v/>
      </c>
      <c r="H233" s="249" t="str">
        <f t="shared" si="5"/>
        <v/>
      </c>
      <c r="I233" s="251">
        <f>IF(OR(ISBLANK('Оценка'!F232), ISBLANK('Оценка'!G232)), "", 
(AVERAGE(
  (
    ('Оценка'!F232 + 4*AVERAGE('Оценка'!F232:G232) + 'Оценка'!G232)/6 - 
    2*(('Оценка'!G232 - 'Оценка'!F232)/6)
  )/5 , 
  (
    ('Оценка'!F232 + 4*AVERAGE('Оценка'!F232:G232) + 'Оценка'!G232)/6 + 
    2*(('Оценка'!G232 - 'Оценка'!F232)/6)
  )/5
) * 
(
  (
    ('PM (Расчеты)'!$C$22/8 + 'PM (Расчеты)'!$C$23/40) + 
    'PM (Расчеты)'!$C$21/100 + 'PM (Расчеты)'!$C$25/100 + 
    'PM (Расчеты)'!$C$26/100
  ) + 1
)))
 * 8 * 60 * 60
</f>
        <v>0</v>
      </c>
      <c r="J233" s="252" t="str">
        <f>'Оценка'!B236</f>
        <v/>
      </c>
      <c r="K233" s="253" t="str">
        <f t="shared" si="6"/>
        <v/>
      </c>
      <c r="L233" s="253" t="str">
        <f t="shared" si="7"/>
        <v/>
      </c>
    </row>
    <row r="234">
      <c r="A234" s="247" t="str">
        <f>'Оценка'!C237</f>
        <v/>
      </c>
      <c r="B234" s="247" t="str">
        <f>'Оценка'!D237</f>
        <v/>
      </c>
      <c r="C234" s="249" t="str">
        <f t="shared" si="1"/>
        <v/>
      </c>
      <c r="D234" s="249" t="str">
        <f t="shared" si="2"/>
        <v/>
      </c>
      <c r="E234" s="249" t="str">
        <f t="shared" si="3"/>
        <v/>
      </c>
      <c r="F234" s="158" t="str">
        <f t="shared" si="4"/>
        <v/>
      </c>
      <c r="G234" s="247" t="str">
        <f>IF(A234&lt;&gt;"", 'Sales (Итоги оценки)'!$C$4, "")</f>
        <v/>
      </c>
      <c r="H234" s="249" t="str">
        <f t="shared" si="5"/>
        <v/>
      </c>
      <c r="I234" s="251">
        <f>IF(OR(ISBLANK('Оценка'!F233), ISBLANK('Оценка'!G233)), "", 
(AVERAGE(
  (
    ('Оценка'!F233 + 4*AVERAGE('Оценка'!F233:G233) + 'Оценка'!G233)/6 - 
    2*(('Оценка'!G233 - 'Оценка'!F233)/6)
  )/5 , 
  (
    ('Оценка'!F233 + 4*AVERAGE('Оценка'!F233:G233) + 'Оценка'!G233)/6 + 
    2*(('Оценка'!G233 - 'Оценка'!F233)/6)
  )/5
) * 
(
  (
    ('PM (Расчеты)'!$C$22/8 + 'PM (Расчеты)'!$C$23/40) + 
    'PM (Расчеты)'!$C$21/100 + 'PM (Расчеты)'!$C$25/100 + 
    'PM (Расчеты)'!$C$26/100
  ) + 1
)))
 * 8 * 60 * 60
</f>
        <v>0</v>
      </c>
      <c r="J234" s="252" t="str">
        <f>'Оценка'!B237</f>
        <v/>
      </c>
      <c r="K234" s="253" t="str">
        <f t="shared" si="6"/>
        <v/>
      </c>
      <c r="L234" s="253" t="str">
        <f t="shared" si="7"/>
        <v/>
      </c>
    </row>
    <row r="235">
      <c r="A235" s="247" t="str">
        <f>'Оценка'!C238</f>
        <v/>
      </c>
      <c r="B235" s="247" t="str">
        <f>'Оценка'!D238</f>
        <v/>
      </c>
      <c r="C235" s="249" t="str">
        <f t="shared" si="1"/>
        <v/>
      </c>
      <c r="D235" s="249" t="str">
        <f t="shared" si="2"/>
        <v/>
      </c>
      <c r="E235" s="249" t="str">
        <f t="shared" si="3"/>
        <v/>
      </c>
      <c r="F235" s="158" t="str">
        <f t="shared" si="4"/>
        <v/>
      </c>
      <c r="G235" s="247" t="str">
        <f>IF(A235&lt;&gt;"", 'Sales (Итоги оценки)'!$C$4, "")</f>
        <v/>
      </c>
      <c r="H235" s="249" t="str">
        <f t="shared" si="5"/>
        <v/>
      </c>
      <c r="I235" s="251">
        <f>IF(OR(ISBLANK('Оценка'!F234), ISBLANK('Оценка'!G234)), "", 
(AVERAGE(
  (
    ('Оценка'!F234 + 4*AVERAGE('Оценка'!F234:G234) + 'Оценка'!G234)/6 - 
    2*(('Оценка'!G234 - 'Оценка'!F234)/6)
  )/5 , 
  (
    ('Оценка'!F234 + 4*AVERAGE('Оценка'!F234:G234) + 'Оценка'!G234)/6 + 
    2*(('Оценка'!G234 - 'Оценка'!F234)/6)
  )/5
) * 
(
  (
    ('PM (Расчеты)'!$C$22/8 + 'PM (Расчеты)'!$C$23/40) + 
    'PM (Расчеты)'!$C$21/100 + 'PM (Расчеты)'!$C$25/100 + 
    'PM (Расчеты)'!$C$26/100
  ) + 1
)))
 * 8 * 60 * 60
</f>
        <v>0</v>
      </c>
      <c r="J235" s="252" t="str">
        <f>'Оценка'!B238</f>
        <v/>
      </c>
      <c r="K235" s="253" t="str">
        <f t="shared" si="6"/>
        <v/>
      </c>
      <c r="L235" s="253" t="str">
        <f t="shared" si="7"/>
        <v/>
      </c>
    </row>
    <row r="236">
      <c r="A236" s="247" t="str">
        <f>'Оценка'!C239</f>
        <v/>
      </c>
      <c r="B236" s="247" t="str">
        <f>'Оценка'!D239</f>
        <v/>
      </c>
      <c r="C236" s="249" t="str">
        <f t="shared" si="1"/>
        <v/>
      </c>
      <c r="D236" s="249" t="str">
        <f t="shared" si="2"/>
        <v/>
      </c>
      <c r="E236" s="249" t="str">
        <f t="shared" si="3"/>
        <v/>
      </c>
      <c r="F236" s="158" t="str">
        <f t="shared" si="4"/>
        <v/>
      </c>
      <c r="G236" s="247" t="str">
        <f>IF(A236&lt;&gt;"", 'Sales (Итоги оценки)'!$C$4, "")</f>
        <v/>
      </c>
      <c r="H236" s="249" t="str">
        <f t="shared" si="5"/>
        <v/>
      </c>
      <c r="I236" s="251">
        <f>IF(OR(ISBLANK('Оценка'!F235), ISBLANK('Оценка'!G235)), "", 
(AVERAGE(
  (
    ('Оценка'!F235 + 4*AVERAGE('Оценка'!F235:G235) + 'Оценка'!G235)/6 - 
    2*(('Оценка'!G235 - 'Оценка'!F235)/6)
  )/5 , 
  (
    ('Оценка'!F235 + 4*AVERAGE('Оценка'!F235:G235) + 'Оценка'!G235)/6 + 
    2*(('Оценка'!G235 - 'Оценка'!F235)/6)
  )/5
) * 
(
  (
    ('PM (Расчеты)'!$C$22/8 + 'PM (Расчеты)'!$C$23/40) + 
    'PM (Расчеты)'!$C$21/100 + 'PM (Расчеты)'!$C$25/100 + 
    'PM (Расчеты)'!$C$26/100
  ) + 1
)))
 * 8 * 60 * 60
</f>
        <v>0</v>
      </c>
      <c r="J236" s="252" t="str">
        <f>'Оценка'!B239</f>
        <v/>
      </c>
      <c r="K236" s="253" t="str">
        <f t="shared" si="6"/>
        <v/>
      </c>
      <c r="L236" s="253" t="str">
        <f t="shared" si="7"/>
        <v/>
      </c>
    </row>
    <row r="237">
      <c r="A237" s="247" t="str">
        <f>'Оценка'!C240</f>
        <v/>
      </c>
      <c r="B237" s="247" t="str">
        <f>'Оценка'!D240</f>
        <v/>
      </c>
      <c r="C237" s="249" t="str">
        <f t="shared" si="1"/>
        <v/>
      </c>
      <c r="D237" s="249" t="str">
        <f t="shared" si="2"/>
        <v/>
      </c>
      <c r="E237" s="249" t="str">
        <f t="shared" si="3"/>
        <v/>
      </c>
      <c r="F237" s="158" t="str">
        <f t="shared" si="4"/>
        <v/>
      </c>
      <c r="G237" s="247" t="str">
        <f>IF(A237&lt;&gt;"", 'Sales (Итоги оценки)'!$C$4, "")</f>
        <v/>
      </c>
      <c r="H237" s="249" t="str">
        <f t="shared" si="5"/>
        <v/>
      </c>
      <c r="I237" s="251">
        <f>IF(OR(ISBLANK('Оценка'!F236), ISBLANK('Оценка'!G236)), "", 
(AVERAGE(
  (
    ('Оценка'!F236 + 4*AVERAGE('Оценка'!F236:G236) + 'Оценка'!G236)/6 - 
    2*(('Оценка'!G236 - 'Оценка'!F236)/6)
  )/5 , 
  (
    ('Оценка'!F236 + 4*AVERAGE('Оценка'!F236:G236) + 'Оценка'!G236)/6 + 
    2*(('Оценка'!G236 - 'Оценка'!F236)/6)
  )/5
) * 
(
  (
    ('PM (Расчеты)'!$C$22/8 + 'PM (Расчеты)'!$C$23/40) + 
    'PM (Расчеты)'!$C$21/100 + 'PM (Расчеты)'!$C$25/100 + 
    'PM (Расчеты)'!$C$26/100
  ) + 1
)))
 * 8 * 60 * 60
</f>
        <v>0</v>
      </c>
      <c r="J237" s="252" t="str">
        <f>'Оценка'!B240</f>
        <v/>
      </c>
      <c r="K237" s="253" t="str">
        <f t="shared" si="6"/>
        <v/>
      </c>
      <c r="L237" s="253" t="str">
        <f t="shared" si="7"/>
        <v/>
      </c>
    </row>
    <row r="238">
      <c r="A238" s="247" t="str">
        <f>'Оценка'!C241</f>
        <v/>
      </c>
      <c r="B238" s="247" t="str">
        <f>'Оценка'!D241</f>
        <v/>
      </c>
      <c r="C238" s="249" t="str">
        <f t="shared" si="1"/>
        <v/>
      </c>
      <c r="D238" s="249" t="str">
        <f t="shared" si="2"/>
        <v/>
      </c>
      <c r="E238" s="249" t="str">
        <f t="shared" si="3"/>
        <v/>
      </c>
      <c r="F238" s="158" t="str">
        <f t="shared" si="4"/>
        <v/>
      </c>
      <c r="G238" s="247" t="str">
        <f>IF(A238&lt;&gt;"", 'Sales (Итоги оценки)'!$C$4, "")</f>
        <v/>
      </c>
      <c r="H238" s="249" t="str">
        <f t="shared" si="5"/>
        <v/>
      </c>
      <c r="I238" s="251">
        <f>IF(OR(ISBLANK('Оценка'!F237), ISBLANK('Оценка'!G237)), "", 
(AVERAGE(
  (
    ('Оценка'!F237 + 4*AVERAGE('Оценка'!F237:G237) + 'Оценка'!G237)/6 - 
    2*(('Оценка'!G237 - 'Оценка'!F237)/6)
  )/5 , 
  (
    ('Оценка'!F237 + 4*AVERAGE('Оценка'!F237:G237) + 'Оценка'!G237)/6 + 
    2*(('Оценка'!G237 - 'Оценка'!F237)/6)
  )/5
) * 
(
  (
    ('PM (Расчеты)'!$C$22/8 + 'PM (Расчеты)'!$C$23/40) + 
    'PM (Расчеты)'!$C$21/100 + 'PM (Расчеты)'!$C$25/100 + 
    'PM (Расчеты)'!$C$26/100
  ) + 1
)))
 * 8 * 60 * 60
</f>
        <v>0</v>
      </c>
      <c r="J238" s="252" t="str">
        <f>'Оценка'!B241</f>
        <v/>
      </c>
      <c r="K238" s="253" t="str">
        <f t="shared" si="6"/>
        <v/>
      </c>
      <c r="L238" s="253" t="str">
        <f t="shared" si="7"/>
        <v/>
      </c>
    </row>
    <row r="239">
      <c r="A239" s="247" t="str">
        <f>'Оценка'!C242</f>
        <v/>
      </c>
      <c r="B239" s="247" t="str">
        <f>'Оценка'!D242</f>
        <v/>
      </c>
      <c r="C239" s="249" t="str">
        <f t="shared" si="1"/>
        <v/>
      </c>
      <c r="D239" s="249" t="str">
        <f t="shared" si="2"/>
        <v/>
      </c>
      <c r="E239" s="249" t="str">
        <f t="shared" si="3"/>
        <v/>
      </c>
      <c r="F239" s="158" t="str">
        <f t="shared" si="4"/>
        <v/>
      </c>
      <c r="G239" s="247" t="str">
        <f>IF(A239&lt;&gt;"", 'Sales (Итоги оценки)'!$C$4, "")</f>
        <v/>
      </c>
      <c r="H239" s="249" t="str">
        <f t="shared" si="5"/>
        <v/>
      </c>
      <c r="I239" s="251">
        <f>IF(OR(ISBLANK('Оценка'!F238), ISBLANK('Оценка'!G238)), "", 
(AVERAGE(
  (
    ('Оценка'!F238 + 4*AVERAGE('Оценка'!F238:G238) + 'Оценка'!G238)/6 - 
    2*(('Оценка'!G238 - 'Оценка'!F238)/6)
  )/5 , 
  (
    ('Оценка'!F238 + 4*AVERAGE('Оценка'!F238:G238) + 'Оценка'!G238)/6 + 
    2*(('Оценка'!G238 - 'Оценка'!F238)/6)
  )/5
) * 
(
  (
    ('PM (Расчеты)'!$C$22/8 + 'PM (Расчеты)'!$C$23/40) + 
    'PM (Расчеты)'!$C$21/100 + 'PM (Расчеты)'!$C$25/100 + 
    'PM (Расчеты)'!$C$26/100
  ) + 1
)))
 * 8 * 60 * 60
</f>
        <v>0</v>
      </c>
      <c r="J239" s="252" t="str">
        <f>'Оценка'!B242</f>
        <v/>
      </c>
      <c r="K239" s="253" t="str">
        <f t="shared" si="6"/>
        <v/>
      </c>
      <c r="L239" s="253" t="str">
        <f t="shared" si="7"/>
        <v/>
      </c>
    </row>
    <row r="240">
      <c r="A240" s="247" t="str">
        <f>'Оценка'!C243</f>
        <v/>
      </c>
      <c r="B240" s="247" t="str">
        <f>'Оценка'!D243</f>
        <v/>
      </c>
      <c r="C240" s="249" t="str">
        <f t="shared" si="1"/>
        <v/>
      </c>
      <c r="D240" s="249" t="str">
        <f t="shared" si="2"/>
        <v/>
      </c>
      <c r="E240" s="249" t="str">
        <f t="shared" si="3"/>
        <v/>
      </c>
      <c r="F240" s="158" t="str">
        <f t="shared" si="4"/>
        <v/>
      </c>
      <c r="G240" s="247" t="str">
        <f>IF(A240&lt;&gt;"", 'Sales (Итоги оценки)'!$C$4, "")</f>
        <v/>
      </c>
      <c r="H240" s="249" t="str">
        <f t="shared" si="5"/>
        <v/>
      </c>
      <c r="I240" s="251">
        <f>IF(OR(ISBLANK('Оценка'!F239), ISBLANK('Оценка'!G239)), "", 
(AVERAGE(
  (
    ('Оценка'!F239 + 4*AVERAGE('Оценка'!F239:G239) + 'Оценка'!G239)/6 - 
    2*(('Оценка'!G239 - 'Оценка'!F239)/6)
  )/5 , 
  (
    ('Оценка'!F239 + 4*AVERAGE('Оценка'!F239:G239) + 'Оценка'!G239)/6 + 
    2*(('Оценка'!G239 - 'Оценка'!F239)/6)
  )/5
) * 
(
  (
    ('PM (Расчеты)'!$C$22/8 + 'PM (Расчеты)'!$C$23/40) + 
    'PM (Расчеты)'!$C$21/100 + 'PM (Расчеты)'!$C$25/100 + 
    'PM (Расчеты)'!$C$26/100
  ) + 1
)))
 * 8 * 60 * 60
</f>
        <v>0</v>
      </c>
      <c r="J240" s="252" t="str">
        <f>'Оценка'!B243</f>
        <v/>
      </c>
      <c r="K240" s="253" t="str">
        <f t="shared" si="6"/>
        <v/>
      </c>
      <c r="L240" s="253" t="str">
        <f t="shared" si="7"/>
        <v/>
      </c>
    </row>
    <row r="241">
      <c r="A241" s="247" t="str">
        <f>'Оценка'!C244</f>
        <v/>
      </c>
      <c r="B241" s="247" t="str">
        <f>'Оценка'!D244</f>
        <v/>
      </c>
      <c r="C241" s="249" t="str">
        <f t="shared" si="1"/>
        <v/>
      </c>
      <c r="D241" s="249" t="str">
        <f t="shared" si="2"/>
        <v/>
      </c>
      <c r="E241" s="249" t="str">
        <f t="shared" si="3"/>
        <v/>
      </c>
      <c r="F241" s="158" t="str">
        <f t="shared" si="4"/>
        <v/>
      </c>
      <c r="G241" s="247" t="str">
        <f>IF(A241&lt;&gt;"", 'Sales (Итоги оценки)'!$C$4, "")</f>
        <v/>
      </c>
      <c r="H241" s="249" t="str">
        <f t="shared" si="5"/>
        <v/>
      </c>
      <c r="I241" s="251">
        <f>IF(OR(ISBLANK('Оценка'!F240), ISBLANK('Оценка'!G240)), "", 
(AVERAGE(
  (
    ('Оценка'!F240 + 4*AVERAGE('Оценка'!F240:G240) + 'Оценка'!G240)/6 - 
    2*(('Оценка'!G240 - 'Оценка'!F240)/6)
  )/5 , 
  (
    ('Оценка'!F240 + 4*AVERAGE('Оценка'!F240:G240) + 'Оценка'!G240)/6 + 
    2*(('Оценка'!G240 - 'Оценка'!F240)/6)
  )/5
) * 
(
  (
    ('PM (Расчеты)'!$C$22/8 + 'PM (Расчеты)'!$C$23/40) + 
    'PM (Расчеты)'!$C$21/100 + 'PM (Расчеты)'!$C$25/100 + 
    'PM (Расчеты)'!$C$26/100
  ) + 1
)))
 * 8 * 60 * 60
</f>
        <v>0</v>
      </c>
      <c r="J241" s="252" t="str">
        <f>'Оценка'!B244</f>
        <v/>
      </c>
      <c r="K241" s="253" t="str">
        <f t="shared" si="6"/>
        <v/>
      </c>
      <c r="L241" s="253" t="str">
        <f t="shared" si="7"/>
        <v/>
      </c>
    </row>
    <row r="242">
      <c r="A242" s="247" t="str">
        <f>'Оценка'!C245</f>
        <v/>
      </c>
      <c r="B242" s="247" t="str">
        <f>'Оценка'!D245</f>
        <v/>
      </c>
      <c r="C242" s="249" t="str">
        <f t="shared" si="1"/>
        <v/>
      </c>
      <c r="D242" s="249" t="str">
        <f t="shared" si="2"/>
        <v/>
      </c>
      <c r="E242" s="249" t="str">
        <f t="shared" si="3"/>
        <v/>
      </c>
      <c r="F242" s="158" t="str">
        <f t="shared" si="4"/>
        <v/>
      </c>
      <c r="G242" s="247" t="str">
        <f>IF(A242&lt;&gt;"", 'Sales (Итоги оценки)'!$C$4, "")</f>
        <v/>
      </c>
      <c r="H242" s="249" t="str">
        <f t="shared" si="5"/>
        <v/>
      </c>
      <c r="I242" s="251">
        <f>IF(OR(ISBLANK('Оценка'!F241), ISBLANK('Оценка'!G241)), "", 
(AVERAGE(
  (
    ('Оценка'!F241 + 4*AVERAGE('Оценка'!F241:G241) + 'Оценка'!G241)/6 - 
    2*(('Оценка'!G241 - 'Оценка'!F241)/6)
  )/5 , 
  (
    ('Оценка'!F241 + 4*AVERAGE('Оценка'!F241:G241) + 'Оценка'!G241)/6 + 
    2*(('Оценка'!G241 - 'Оценка'!F241)/6)
  )/5
) * 
(
  (
    ('PM (Расчеты)'!$C$22/8 + 'PM (Расчеты)'!$C$23/40) + 
    'PM (Расчеты)'!$C$21/100 + 'PM (Расчеты)'!$C$25/100 + 
    'PM (Расчеты)'!$C$26/100
  ) + 1
)))
 * 8 * 60 * 60
</f>
        <v>0</v>
      </c>
      <c r="J242" s="252" t="str">
        <f>'Оценка'!B245</f>
        <v/>
      </c>
      <c r="K242" s="253" t="str">
        <f t="shared" si="6"/>
        <v/>
      </c>
      <c r="L242" s="253" t="str">
        <f t="shared" si="7"/>
        <v/>
      </c>
    </row>
    <row r="243">
      <c r="A243" s="247" t="str">
        <f>'Оценка'!C246</f>
        <v/>
      </c>
      <c r="B243" s="247" t="str">
        <f>'Оценка'!D246</f>
        <v/>
      </c>
      <c r="C243" s="249" t="str">
        <f t="shared" si="1"/>
        <v/>
      </c>
      <c r="D243" s="249" t="str">
        <f t="shared" si="2"/>
        <v/>
      </c>
      <c r="E243" s="249" t="str">
        <f t="shared" si="3"/>
        <v/>
      </c>
      <c r="F243" s="158" t="str">
        <f t="shared" si="4"/>
        <v/>
      </c>
      <c r="G243" s="247" t="str">
        <f>IF(A243&lt;&gt;"", 'Sales (Итоги оценки)'!$C$4, "")</f>
        <v/>
      </c>
      <c r="H243" s="249" t="str">
        <f t="shared" si="5"/>
        <v/>
      </c>
      <c r="I243" s="251">
        <f>IF(OR(ISBLANK('Оценка'!F242), ISBLANK('Оценка'!G242)), "", 
(AVERAGE(
  (
    ('Оценка'!F242 + 4*AVERAGE('Оценка'!F242:G242) + 'Оценка'!G242)/6 - 
    2*(('Оценка'!G242 - 'Оценка'!F242)/6)
  )/5 , 
  (
    ('Оценка'!F242 + 4*AVERAGE('Оценка'!F242:G242) + 'Оценка'!G242)/6 + 
    2*(('Оценка'!G242 - 'Оценка'!F242)/6)
  )/5
) * 
(
  (
    ('PM (Расчеты)'!$C$22/8 + 'PM (Расчеты)'!$C$23/40) + 
    'PM (Расчеты)'!$C$21/100 + 'PM (Расчеты)'!$C$25/100 + 
    'PM (Расчеты)'!$C$26/100
  ) + 1
)))
 * 8 * 60 * 60
</f>
        <v>0</v>
      </c>
      <c r="J243" s="252" t="str">
        <f>'Оценка'!B246</f>
        <v/>
      </c>
      <c r="K243" s="253" t="str">
        <f t="shared" si="6"/>
        <v/>
      </c>
      <c r="L243" s="253" t="str">
        <f t="shared" si="7"/>
        <v/>
      </c>
    </row>
    <row r="244">
      <c r="A244" s="247" t="str">
        <f>'Оценка'!C247</f>
        <v/>
      </c>
      <c r="B244" s="247" t="str">
        <f>'Оценка'!D247</f>
        <v/>
      </c>
      <c r="C244" s="249" t="str">
        <f t="shared" si="1"/>
        <v/>
      </c>
      <c r="D244" s="249" t="str">
        <f t="shared" si="2"/>
        <v/>
      </c>
      <c r="E244" s="249" t="str">
        <f t="shared" si="3"/>
        <v/>
      </c>
      <c r="F244" s="158" t="str">
        <f t="shared" si="4"/>
        <v/>
      </c>
      <c r="G244" s="247" t="str">
        <f>IF(A244&lt;&gt;"", 'Sales (Итоги оценки)'!$C$4, "")</f>
        <v/>
      </c>
      <c r="H244" s="249" t="str">
        <f t="shared" si="5"/>
        <v/>
      </c>
      <c r="I244" s="251">
        <f>IF(OR(ISBLANK('Оценка'!F243), ISBLANK('Оценка'!G243)), "", 
(AVERAGE(
  (
    ('Оценка'!F243 + 4*AVERAGE('Оценка'!F243:G243) + 'Оценка'!G243)/6 - 
    2*(('Оценка'!G243 - 'Оценка'!F243)/6)
  )/5 , 
  (
    ('Оценка'!F243 + 4*AVERAGE('Оценка'!F243:G243) + 'Оценка'!G243)/6 + 
    2*(('Оценка'!G243 - 'Оценка'!F243)/6)
  )/5
) * 
(
  (
    ('PM (Расчеты)'!$C$22/8 + 'PM (Расчеты)'!$C$23/40) + 
    'PM (Расчеты)'!$C$21/100 + 'PM (Расчеты)'!$C$25/100 + 
    'PM (Расчеты)'!$C$26/100
  ) + 1
)))
 * 8 * 60 * 60
</f>
        <v>0</v>
      </c>
      <c r="J244" s="252" t="str">
        <f>'Оценка'!B247</f>
        <v/>
      </c>
      <c r="K244" s="253" t="str">
        <f t="shared" si="6"/>
        <v/>
      </c>
      <c r="L244" s="253" t="str">
        <f t="shared" si="7"/>
        <v/>
      </c>
    </row>
    <row r="245">
      <c r="A245" s="247" t="str">
        <f>'Оценка'!C248</f>
        <v/>
      </c>
      <c r="B245" s="247" t="str">
        <f>'Оценка'!D248</f>
        <v/>
      </c>
      <c r="C245" s="249" t="str">
        <f t="shared" si="1"/>
        <v/>
      </c>
      <c r="D245" s="249" t="str">
        <f t="shared" si="2"/>
        <v/>
      </c>
      <c r="E245" s="249" t="str">
        <f t="shared" si="3"/>
        <v/>
      </c>
      <c r="F245" s="158" t="str">
        <f t="shared" si="4"/>
        <v/>
      </c>
      <c r="G245" s="247" t="str">
        <f>IF(A245&lt;&gt;"", 'Sales (Итоги оценки)'!$C$4, "")</f>
        <v/>
      </c>
      <c r="H245" s="249" t="str">
        <f t="shared" si="5"/>
        <v/>
      </c>
      <c r="I245" s="251">
        <f>IF(OR(ISBLANK('Оценка'!F244), ISBLANK('Оценка'!G244)), "", 
(AVERAGE(
  (
    ('Оценка'!F244 + 4*AVERAGE('Оценка'!F244:G244) + 'Оценка'!G244)/6 - 
    2*(('Оценка'!G244 - 'Оценка'!F244)/6)
  )/5 , 
  (
    ('Оценка'!F244 + 4*AVERAGE('Оценка'!F244:G244) + 'Оценка'!G244)/6 + 
    2*(('Оценка'!G244 - 'Оценка'!F244)/6)
  )/5
) * 
(
  (
    ('PM (Расчеты)'!$C$22/8 + 'PM (Расчеты)'!$C$23/40) + 
    'PM (Расчеты)'!$C$21/100 + 'PM (Расчеты)'!$C$25/100 + 
    'PM (Расчеты)'!$C$26/100
  ) + 1
)))
 * 8 * 60 * 60
</f>
        <v>0</v>
      </c>
      <c r="J245" s="252" t="str">
        <f>'Оценка'!B248</f>
        <v/>
      </c>
      <c r="K245" s="253" t="str">
        <f t="shared" si="6"/>
        <v/>
      </c>
      <c r="L245" s="253" t="str">
        <f t="shared" si="7"/>
        <v/>
      </c>
    </row>
    <row r="246">
      <c r="A246" s="247" t="str">
        <f>'Оценка'!C249</f>
        <v/>
      </c>
      <c r="B246" s="247" t="str">
        <f>'Оценка'!D249</f>
        <v/>
      </c>
      <c r="C246" s="249" t="str">
        <f t="shared" si="1"/>
        <v/>
      </c>
      <c r="D246" s="249" t="str">
        <f t="shared" si="2"/>
        <v/>
      </c>
      <c r="E246" s="249" t="str">
        <f t="shared" si="3"/>
        <v/>
      </c>
      <c r="F246" s="158" t="str">
        <f t="shared" si="4"/>
        <v/>
      </c>
      <c r="G246" s="247" t="str">
        <f>IF(A246&lt;&gt;"", 'Sales (Итоги оценки)'!$C$4, "")</f>
        <v/>
      </c>
      <c r="H246" s="249" t="str">
        <f t="shared" si="5"/>
        <v/>
      </c>
      <c r="I246" s="251">
        <f>IF(OR(ISBLANK('Оценка'!F245), ISBLANK('Оценка'!G245)), "", 
(AVERAGE(
  (
    ('Оценка'!F245 + 4*AVERAGE('Оценка'!F245:G245) + 'Оценка'!G245)/6 - 
    2*(('Оценка'!G245 - 'Оценка'!F245)/6)
  )/5 , 
  (
    ('Оценка'!F245 + 4*AVERAGE('Оценка'!F245:G245) + 'Оценка'!G245)/6 + 
    2*(('Оценка'!G245 - 'Оценка'!F245)/6)
  )/5
) * 
(
  (
    ('PM (Расчеты)'!$C$22/8 + 'PM (Расчеты)'!$C$23/40) + 
    'PM (Расчеты)'!$C$21/100 + 'PM (Расчеты)'!$C$25/100 + 
    'PM (Расчеты)'!$C$26/100
  ) + 1
)))
 * 8 * 60 * 60
</f>
        <v>0</v>
      </c>
      <c r="J246" s="252" t="str">
        <f>'Оценка'!B249</f>
        <v/>
      </c>
      <c r="K246" s="253" t="str">
        <f t="shared" si="6"/>
        <v/>
      </c>
      <c r="L246" s="253" t="str">
        <f t="shared" si="7"/>
        <v/>
      </c>
    </row>
    <row r="247">
      <c r="A247" s="247" t="str">
        <f>'Оценка'!C250</f>
        <v/>
      </c>
      <c r="B247" s="247" t="str">
        <f>'Оценка'!D250</f>
        <v/>
      </c>
      <c r="C247" s="249" t="str">
        <f t="shared" si="1"/>
        <v/>
      </c>
      <c r="D247" s="249" t="str">
        <f t="shared" si="2"/>
        <v/>
      </c>
      <c r="E247" s="249" t="str">
        <f t="shared" si="3"/>
        <v/>
      </c>
      <c r="F247" s="158" t="str">
        <f t="shared" si="4"/>
        <v/>
      </c>
      <c r="G247" s="247" t="str">
        <f>IF(A247&lt;&gt;"", 'Sales (Итоги оценки)'!$C$4, "")</f>
        <v/>
      </c>
      <c r="H247" s="249" t="str">
        <f t="shared" si="5"/>
        <v/>
      </c>
      <c r="I247" s="251">
        <f>IF(OR(ISBLANK('Оценка'!F246), ISBLANK('Оценка'!G246)), "", 
(AVERAGE(
  (
    ('Оценка'!F246 + 4*AVERAGE('Оценка'!F246:G246) + 'Оценка'!G246)/6 - 
    2*(('Оценка'!G246 - 'Оценка'!F246)/6)
  )/5 , 
  (
    ('Оценка'!F246 + 4*AVERAGE('Оценка'!F246:G246) + 'Оценка'!G246)/6 + 
    2*(('Оценка'!G246 - 'Оценка'!F246)/6)
  )/5
) * 
(
  (
    ('PM (Расчеты)'!$C$22/8 + 'PM (Расчеты)'!$C$23/40) + 
    'PM (Расчеты)'!$C$21/100 + 'PM (Расчеты)'!$C$25/100 + 
    'PM (Расчеты)'!$C$26/100
  ) + 1
)))
 * 8 * 60 * 60
</f>
        <v>0</v>
      </c>
      <c r="J247" s="252" t="str">
        <f>'Оценка'!B250</f>
        <v/>
      </c>
      <c r="K247" s="253" t="str">
        <f t="shared" si="6"/>
        <v/>
      </c>
      <c r="L247" s="253" t="str">
        <f t="shared" si="7"/>
        <v/>
      </c>
    </row>
    <row r="248">
      <c r="A248" s="247" t="str">
        <f>'Оценка'!C251</f>
        <v/>
      </c>
      <c r="B248" s="247" t="str">
        <f>'Оценка'!D251</f>
        <v/>
      </c>
      <c r="C248" s="249" t="str">
        <f t="shared" si="1"/>
        <v/>
      </c>
      <c r="D248" s="249" t="str">
        <f t="shared" si="2"/>
        <v/>
      </c>
      <c r="E248" s="249" t="str">
        <f t="shared" si="3"/>
        <v/>
      </c>
      <c r="F248" s="158" t="str">
        <f t="shared" si="4"/>
        <v/>
      </c>
      <c r="G248" s="247" t="str">
        <f>IF(A248&lt;&gt;"", 'Sales (Итоги оценки)'!$C$4, "")</f>
        <v/>
      </c>
      <c r="H248" s="249" t="str">
        <f t="shared" si="5"/>
        <v/>
      </c>
      <c r="I248" s="251">
        <f>IF(OR(ISBLANK('Оценка'!F247), ISBLANK('Оценка'!G247)), "", 
(AVERAGE(
  (
    ('Оценка'!F247 + 4*AVERAGE('Оценка'!F247:G247) + 'Оценка'!G247)/6 - 
    2*(('Оценка'!G247 - 'Оценка'!F247)/6)
  )/5 , 
  (
    ('Оценка'!F247 + 4*AVERAGE('Оценка'!F247:G247) + 'Оценка'!G247)/6 + 
    2*(('Оценка'!G247 - 'Оценка'!F247)/6)
  )/5
) * 
(
  (
    ('PM (Расчеты)'!$C$22/8 + 'PM (Расчеты)'!$C$23/40) + 
    'PM (Расчеты)'!$C$21/100 + 'PM (Расчеты)'!$C$25/100 + 
    'PM (Расчеты)'!$C$26/100
  ) + 1
)))
 * 8 * 60 * 60
</f>
        <v>0</v>
      </c>
      <c r="J248" s="252" t="str">
        <f>'Оценка'!B251</f>
        <v/>
      </c>
      <c r="K248" s="253" t="str">
        <f t="shared" si="6"/>
        <v/>
      </c>
      <c r="L248" s="253" t="str">
        <f t="shared" si="7"/>
        <v/>
      </c>
    </row>
    <row r="249">
      <c r="A249" s="247" t="str">
        <f>'Оценка'!C252</f>
        <v/>
      </c>
      <c r="B249" s="247" t="str">
        <f>'Оценка'!D252</f>
        <v/>
      </c>
      <c r="C249" s="249" t="str">
        <f t="shared" si="1"/>
        <v/>
      </c>
      <c r="D249" s="249" t="str">
        <f t="shared" si="2"/>
        <v/>
      </c>
      <c r="E249" s="249" t="str">
        <f t="shared" si="3"/>
        <v/>
      </c>
      <c r="F249" s="158" t="str">
        <f t="shared" si="4"/>
        <v/>
      </c>
      <c r="G249" s="247" t="str">
        <f>IF(A249&lt;&gt;"", 'Sales (Итоги оценки)'!$C$4, "")</f>
        <v/>
      </c>
      <c r="H249" s="249" t="str">
        <f t="shared" si="5"/>
        <v/>
      </c>
      <c r="I249" s="251">
        <f>IF(OR(ISBLANK('Оценка'!F248), ISBLANK('Оценка'!G248)), "", 
(AVERAGE(
  (
    ('Оценка'!F248 + 4*AVERAGE('Оценка'!F248:G248) + 'Оценка'!G248)/6 - 
    2*(('Оценка'!G248 - 'Оценка'!F248)/6)
  )/5 , 
  (
    ('Оценка'!F248 + 4*AVERAGE('Оценка'!F248:G248) + 'Оценка'!G248)/6 + 
    2*(('Оценка'!G248 - 'Оценка'!F248)/6)
  )/5
) * 
(
  (
    ('PM (Расчеты)'!$C$22/8 + 'PM (Расчеты)'!$C$23/40) + 
    'PM (Расчеты)'!$C$21/100 + 'PM (Расчеты)'!$C$25/100 + 
    'PM (Расчеты)'!$C$26/100
  ) + 1
)))
 * 8 * 60 * 60
</f>
        <v>0</v>
      </c>
      <c r="J249" s="252" t="str">
        <f>'Оценка'!B252</f>
        <v/>
      </c>
      <c r="K249" s="253" t="str">
        <f t="shared" si="6"/>
        <v/>
      </c>
      <c r="L249" s="253" t="str">
        <f t="shared" si="7"/>
        <v/>
      </c>
    </row>
    <row r="250">
      <c r="A250" s="247" t="str">
        <f>'Оценка'!C253</f>
        <v/>
      </c>
      <c r="B250" s="247" t="str">
        <f>'Оценка'!D253</f>
        <v/>
      </c>
      <c r="C250" s="249" t="str">
        <f t="shared" si="1"/>
        <v/>
      </c>
      <c r="D250" s="249" t="str">
        <f t="shared" si="2"/>
        <v/>
      </c>
      <c r="E250" s="249" t="str">
        <f t="shared" si="3"/>
        <v/>
      </c>
      <c r="F250" s="158" t="str">
        <f t="shared" si="4"/>
        <v/>
      </c>
      <c r="G250" s="247" t="str">
        <f>IF(A250&lt;&gt;"", 'Sales (Итоги оценки)'!$C$4, "")</f>
        <v/>
      </c>
      <c r="H250" s="249" t="str">
        <f t="shared" si="5"/>
        <v/>
      </c>
      <c r="I250" s="251">
        <f>IF(OR(ISBLANK('Оценка'!F249), ISBLANK('Оценка'!G249)), "", 
(AVERAGE(
  (
    ('Оценка'!F249 + 4*AVERAGE('Оценка'!F249:G249) + 'Оценка'!G249)/6 - 
    2*(('Оценка'!G249 - 'Оценка'!F249)/6)
  )/5 , 
  (
    ('Оценка'!F249 + 4*AVERAGE('Оценка'!F249:G249) + 'Оценка'!G249)/6 + 
    2*(('Оценка'!G249 - 'Оценка'!F249)/6)
  )/5
) * 
(
  (
    ('PM (Расчеты)'!$C$22/8 + 'PM (Расчеты)'!$C$23/40) + 
    'PM (Расчеты)'!$C$21/100 + 'PM (Расчеты)'!$C$25/100 + 
    'PM (Расчеты)'!$C$26/100
  ) + 1
)))
 * 8 * 60 * 60
</f>
        <v>0</v>
      </c>
      <c r="J250" s="252" t="str">
        <f>'Оценка'!B253</f>
        <v/>
      </c>
      <c r="K250" s="253" t="str">
        <f t="shared" si="6"/>
        <v/>
      </c>
      <c r="L250" s="253" t="str">
        <f t="shared" si="7"/>
        <v/>
      </c>
    </row>
    <row r="251">
      <c r="A251" s="247" t="str">
        <f>'Оценка'!C254</f>
        <v/>
      </c>
      <c r="B251" s="247" t="str">
        <f>'Оценка'!D254</f>
        <v/>
      </c>
      <c r="C251" s="249" t="str">
        <f t="shared" si="1"/>
        <v/>
      </c>
      <c r="D251" s="249" t="str">
        <f t="shared" si="2"/>
        <v/>
      </c>
      <c r="E251" s="249" t="str">
        <f t="shared" si="3"/>
        <v/>
      </c>
      <c r="F251" s="158" t="str">
        <f t="shared" si="4"/>
        <v/>
      </c>
      <c r="G251" s="247" t="str">
        <f>IF(A251&lt;&gt;"", 'Sales (Итоги оценки)'!$C$4, "")</f>
        <v/>
      </c>
      <c r="H251" s="249" t="str">
        <f t="shared" si="5"/>
        <v/>
      </c>
      <c r="I251" s="251">
        <f>IF(OR(ISBLANK('Оценка'!F250), ISBLANK('Оценка'!G250)), "", 
(AVERAGE(
  (
    ('Оценка'!F250 + 4*AVERAGE('Оценка'!F250:G250) + 'Оценка'!G250)/6 - 
    2*(('Оценка'!G250 - 'Оценка'!F250)/6)
  )/5 , 
  (
    ('Оценка'!F250 + 4*AVERAGE('Оценка'!F250:G250) + 'Оценка'!G250)/6 + 
    2*(('Оценка'!G250 - 'Оценка'!F250)/6)
  )/5
) * 
(
  (
    ('PM (Расчеты)'!$C$22/8 + 'PM (Расчеты)'!$C$23/40) + 
    'PM (Расчеты)'!$C$21/100 + 'PM (Расчеты)'!$C$25/100 + 
    'PM (Расчеты)'!$C$26/100
  ) + 1
)))
 * 8 * 60 * 60
</f>
        <v>0</v>
      </c>
      <c r="J251" s="252" t="str">
        <f>'Оценка'!B254</f>
        <v/>
      </c>
      <c r="K251" s="253" t="str">
        <f t="shared" si="6"/>
        <v/>
      </c>
      <c r="L251" s="253" t="str">
        <f t="shared" si="7"/>
        <v/>
      </c>
    </row>
    <row r="252">
      <c r="A252" s="247" t="str">
        <f>'Оценка'!C255</f>
        <v/>
      </c>
      <c r="B252" s="247" t="str">
        <f>'Оценка'!D255</f>
        <v/>
      </c>
      <c r="C252" s="249" t="str">
        <f t="shared" si="1"/>
        <v/>
      </c>
      <c r="D252" s="249" t="str">
        <f t="shared" si="2"/>
        <v/>
      </c>
      <c r="E252" s="249" t="str">
        <f t="shared" si="3"/>
        <v/>
      </c>
      <c r="F252" s="158" t="str">
        <f t="shared" si="4"/>
        <v/>
      </c>
      <c r="G252" s="247" t="str">
        <f>IF(A252&lt;&gt;"", 'Sales (Итоги оценки)'!$C$4, "")</f>
        <v/>
      </c>
      <c r="H252" s="249" t="str">
        <f t="shared" si="5"/>
        <v/>
      </c>
      <c r="I252" s="251">
        <f>IF(OR(ISBLANK('Оценка'!F251), ISBLANK('Оценка'!G251)), "", 
(AVERAGE(
  (
    ('Оценка'!F251 + 4*AVERAGE('Оценка'!F251:G251) + 'Оценка'!G251)/6 - 
    2*(('Оценка'!G251 - 'Оценка'!F251)/6)
  )/5 , 
  (
    ('Оценка'!F251 + 4*AVERAGE('Оценка'!F251:G251) + 'Оценка'!G251)/6 + 
    2*(('Оценка'!G251 - 'Оценка'!F251)/6)
  )/5
) * 
(
  (
    ('PM (Расчеты)'!$C$22/8 + 'PM (Расчеты)'!$C$23/40) + 
    'PM (Расчеты)'!$C$21/100 + 'PM (Расчеты)'!$C$25/100 + 
    'PM (Расчеты)'!$C$26/100
  ) + 1
)))
 * 8 * 60 * 60
</f>
        <v>0</v>
      </c>
      <c r="J252" s="252" t="str">
        <f>'Оценка'!B255</f>
        <v/>
      </c>
      <c r="K252" s="253" t="str">
        <f t="shared" si="6"/>
        <v/>
      </c>
      <c r="L252" s="253" t="str">
        <f t="shared" si="7"/>
        <v/>
      </c>
    </row>
    <row r="253">
      <c r="A253" s="247" t="str">
        <f>'Оценка'!C256</f>
        <v/>
      </c>
      <c r="B253" s="247" t="str">
        <f>'Оценка'!D256</f>
        <v/>
      </c>
      <c r="C253" s="249" t="str">
        <f t="shared" si="1"/>
        <v/>
      </c>
      <c r="D253" s="249" t="str">
        <f t="shared" si="2"/>
        <v/>
      </c>
      <c r="E253" s="249" t="str">
        <f t="shared" si="3"/>
        <v/>
      </c>
      <c r="F253" s="158" t="str">
        <f t="shared" si="4"/>
        <v/>
      </c>
      <c r="G253" s="247" t="str">
        <f>IF(A253&lt;&gt;"", 'Sales (Итоги оценки)'!$C$4, "")</f>
        <v/>
      </c>
      <c r="H253" s="249" t="str">
        <f t="shared" si="5"/>
        <v/>
      </c>
      <c r="I253" s="251">
        <f>IF(OR(ISBLANK('Оценка'!F252), ISBLANK('Оценка'!G252)), "", 
(AVERAGE(
  (
    ('Оценка'!F252 + 4*AVERAGE('Оценка'!F252:G252) + 'Оценка'!G252)/6 - 
    2*(('Оценка'!G252 - 'Оценка'!F252)/6)
  )/5 , 
  (
    ('Оценка'!F252 + 4*AVERAGE('Оценка'!F252:G252) + 'Оценка'!G252)/6 + 
    2*(('Оценка'!G252 - 'Оценка'!F252)/6)
  )/5
) * 
(
  (
    ('PM (Расчеты)'!$C$22/8 + 'PM (Расчеты)'!$C$23/40) + 
    'PM (Расчеты)'!$C$21/100 + 'PM (Расчеты)'!$C$25/100 + 
    'PM (Расчеты)'!$C$26/100
  ) + 1
)))
 * 8 * 60 * 60
</f>
        <v>0</v>
      </c>
      <c r="J253" s="252" t="str">
        <f>'Оценка'!B256</f>
        <v/>
      </c>
      <c r="K253" s="253" t="str">
        <f t="shared" si="6"/>
        <v/>
      </c>
      <c r="L253" s="253" t="str">
        <f t="shared" si="7"/>
        <v/>
      </c>
    </row>
    <row r="254">
      <c r="A254" s="247" t="str">
        <f>'Оценка'!C257</f>
        <v/>
      </c>
      <c r="B254" s="247" t="str">
        <f>'Оценка'!D257</f>
        <v/>
      </c>
      <c r="C254" s="249" t="str">
        <f t="shared" si="1"/>
        <v/>
      </c>
      <c r="D254" s="249" t="str">
        <f t="shared" si="2"/>
        <v/>
      </c>
      <c r="E254" s="249" t="str">
        <f t="shared" si="3"/>
        <v/>
      </c>
      <c r="F254" s="158" t="str">
        <f t="shared" si="4"/>
        <v/>
      </c>
      <c r="G254" s="247" t="str">
        <f>IF(A254&lt;&gt;"", 'Sales (Итоги оценки)'!$C$4, "")</f>
        <v/>
      </c>
      <c r="H254" s="249" t="str">
        <f t="shared" si="5"/>
        <v/>
      </c>
      <c r="I254" s="251">
        <f>IF(OR(ISBLANK('Оценка'!F253), ISBLANK('Оценка'!G253)), "", 
(AVERAGE(
  (
    ('Оценка'!F253 + 4*AVERAGE('Оценка'!F253:G253) + 'Оценка'!G253)/6 - 
    2*(('Оценка'!G253 - 'Оценка'!F253)/6)
  )/5 , 
  (
    ('Оценка'!F253 + 4*AVERAGE('Оценка'!F253:G253) + 'Оценка'!G253)/6 + 
    2*(('Оценка'!G253 - 'Оценка'!F253)/6)
  )/5
) * 
(
  (
    ('PM (Расчеты)'!$C$22/8 + 'PM (Расчеты)'!$C$23/40) + 
    'PM (Расчеты)'!$C$21/100 + 'PM (Расчеты)'!$C$25/100 + 
    'PM (Расчеты)'!$C$26/100
  ) + 1
)))
 * 8 * 60 * 60
</f>
        <v>0</v>
      </c>
      <c r="J254" s="252" t="str">
        <f>'Оценка'!B257</f>
        <v/>
      </c>
      <c r="K254" s="253" t="str">
        <f t="shared" si="6"/>
        <v/>
      </c>
      <c r="L254" s="253" t="str">
        <f t="shared" si="7"/>
        <v/>
      </c>
    </row>
    <row r="255">
      <c r="A255" s="247" t="str">
        <f>'Оценка'!C258</f>
        <v/>
      </c>
      <c r="B255" s="247" t="str">
        <f>'Оценка'!D258</f>
        <v/>
      </c>
      <c r="C255" s="249" t="str">
        <f t="shared" si="1"/>
        <v/>
      </c>
      <c r="D255" s="249" t="str">
        <f t="shared" si="2"/>
        <v/>
      </c>
      <c r="E255" s="249" t="str">
        <f t="shared" si="3"/>
        <v/>
      </c>
      <c r="F255" s="158" t="str">
        <f t="shared" si="4"/>
        <v/>
      </c>
      <c r="G255" s="247" t="str">
        <f>IF(A255&lt;&gt;"", 'Sales (Итоги оценки)'!$C$4, "")</f>
        <v/>
      </c>
      <c r="H255" s="249" t="str">
        <f t="shared" si="5"/>
        <v/>
      </c>
      <c r="I255" s="251">
        <f>IF(OR(ISBLANK('Оценка'!F254), ISBLANK('Оценка'!G254)), "", 
(AVERAGE(
  (
    ('Оценка'!F254 + 4*AVERAGE('Оценка'!F254:G254) + 'Оценка'!G254)/6 - 
    2*(('Оценка'!G254 - 'Оценка'!F254)/6)
  )/5 , 
  (
    ('Оценка'!F254 + 4*AVERAGE('Оценка'!F254:G254) + 'Оценка'!G254)/6 + 
    2*(('Оценка'!G254 - 'Оценка'!F254)/6)
  )/5
) * 
(
  (
    ('PM (Расчеты)'!$C$22/8 + 'PM (Расчеты)'!$C$23/40) + 
    'PM (Расчеты)'!$C$21/100 + 'PM (Расчеты)'!$C$25/100 + 
    'PM (Расчеты)'!$C$26/100
  ) + 1
)))
 * 8 * 60 * 60
</f>
        <v>0</v>
      </c>
      <c r="J255" s="252" t="str">
        <f>'Оценка'!B258</f>
        <v/>
      </c>
      <c r="K255" s="253" t="str">
        <f t="shared" si="6"/>
        <v/>
      </c>
      <c r="L255" s="253" t="str">
        <f t="shared" si="7"/>
        <v/>
      </c>
    </row>
    <row r="256">
      <c r="A256" s="247" t="str">
        <f>'Оценка'!C259</f>
        <v/>
      </c>
      <c r="B256" s="247" t="str">
        <f>'Оценка'!D259</f>
        <v/>
      </c>
      <c r="C256" s="249" t="str">
        <f t="shared" si="1"/>
        <v/>
      </c>
      <c r="D256" s="249" t="str">
        <f t="shared" si="2"/>
        <v/>
      </c>
      <c r="E256" s="249" t="str">
        <f t="shared" si="3"/>
        <v/>
      </c>
      <c r="F256" s="158" t="str">
        <f t="shared" si="4"/>
        <v/>
      </c>
      <c r="G256" s="247" t="str">
        <f>IF(A256&lt;&gt;"", 'Sales (Итоги оценки)'!$C$4, "")</f>
        <v/>
      </c>
      <c r="H256" s="249" t="str">
        <f t="shared" si="5"/>
        <v/>
      </c>
      <c r="I256" s="251">
        <f>IF(OR(ISBLANK('Оценка'!F255), ISBLANK('Оценка'!G255)), "", 
(AVERAGE(
  (
    ('Оценка'!F255 + 4*AVERAGE('Оценка'!F255:G255) + 'Оценка'!G255)/6 - 
    2*(('Оценка'!G255 - 'Оценка'!F255)/6)
  )/5 , 
  (
    ('Оценка'!F255 + 4*AVERAGE('Оценка'!F255:G255) + 'Оценка'!G255)/6 + 
    2*(('Оценка'!G255 - 'Оценка'!F255)/6)
  )/5
) * 
(
  (
    ('PM (Расчеты)'!$C$22/8 + 'PM (Расчеты)'!$C$23/40) + 
    'PM (Расчеты)'!$C$21/100 + 'PM (Расчеты)'!$C$25/100 + 
    'PM (Расчеты)'!$C$26/100
  ) + 1
)))
 * 8 * 60 * 60
</f>
        <v>0</v>
      </c>
      <c r="J256" s="252" t="str">
        <f>'Оценка'!B259</f>
        <v/>
      </c>
      <c r="K256" s="253" t="str">
        <f t="shared" si="6"/>
        <v/>
      </c>
      <c r="L256" s="253" t="str">
        <f t="shared" si="7"/>
        <v/>
      </c>
    </row>
    <row r="257">
      <c r="A257" s="247" t="str">
        <f>'Оценка'!C260</f>
        <v/>
      </c>
      <c r="B257" s="247" t="str">
        <f>'Оценка'!D260</f>
        <v/>
      </c>
      <c r="C257" s="249" t="str">
        <f t="shared" si="1"/>
        <v/>
      </c>
      <c r="D257" s="249" t="str">
        <f t="shared" si="2"/>
        <v/>
      </c>
      <c r="E257" s="249" t="str">
        <f t="shared" si="3"/>
        <v/>
      </c>
      <c r="F257" s="158" t="str">
        <f t="shared" si="4"/>
        <v/>
      </c>
      <c r="G257" s="247" t="str">
        <f>IF(A257&lt;&gt;"", 'Sales (Итоги оценки)'!$C$4, "")</f>
        <v/>
      </c>
      <c r="H257" s="249" t="str">
        <f t="shared" si="5"/>
        <v/>
      </c>
      <c r="I257" s="251">
        <f>IF(OR(ISBLANK('Оценка'!F256), ISBLANK('Оценка'!G256)), "", 
(AVERAGE(
  (
    ('Оценка'!F256 + 4*AVERAGE('Оценка'!F256:G256) + 'Оценка'!G256)/6 - 
    2*(('Оценка'!G256 - 'Оценка'!F256)/6)
  )/5 , 
  (
    ('Оценка'!F256 + 4*AVERAGE('Оценка'!F256:G256) + 'Оценка'!G256)/6 + 
    2*(('Оценка'!G256 - 'Оценка'!F256)/6)
  )/5
) * 
(
  (
    ('PM (Расчеты)'!$C$22/8 + 'PM (Расчеты)'!$C$23/40) + 
    'PM (Расчеты)'!$C$21/100 + 'PM (Расчеты)'!$C$25/100 + 
    'PM (Расчеты)'!$C$26/100
  ) + 1
)))
 * 8 * 60 * 60
</f>
        <v>0</v>
      </c>
      <c r="J257" s="252" t="str">
        <f>'Оценка'!B260</f>
        <v/>
      </c>
      <c r="K257" s="253" t="str">
        <f t="shared" si="6"/>
        <v/>
      </c>
      <c r="L257" s="253" t="str">
        <f t="shared" si="7"/>
        <v/>
      </c>
    </row>
    <row r="258">
      <c r="A258" s="247" t="str">
        <f>'Оценка'!C261</f>
        <v/>
      </c>
      <c r="B258" s="247" t="str">
        <f>'Оценка'!D261</f>
        <v/>
      </c>
      <c r="C258" s="249" t="str">
        <f t="shared" si="1"/>
        <v/>
      </c>
      <c r="D258" s="249" t="str">
        <f t="shared" si="2"/>
        <v/>
      </c>
      <c r="E258" s="249" t="str">
        <f t="shared" si="3"/>
        <v/>
      </c>
      <c r="F258" s="158" t="str">
        <f t="shared" si="4"/>
        <v/>
      </c>
      <c r="G258" s="247" t="str">
        <f>IF(A258&lt;&gt;"", 'Sales (Итоги оценки)'!$C$4, "")</f>
        <v/>
      </c>
      <c r="H258" s="249" t="str">
        <f t="shared" si="5"/>
        <v/>
      </c>
      <c r="I258" s="251">
        <f>IF(OR(ISBLANK('Оценка'!F257), ISBLANK('Оценка'!G257)), "", 
(AVERAGE(
  (
    ('Оценка'!F257 + 4*AVERAGE('Оценка'!F257:G257) + 'Оценка'!G257)/6 - 
    2*(('Оценка'!G257 - 'Оценка'!F257)/6)
  )/5 , 
  (
    ('Оценка'!F257 + 4*AVERAGE('Оценка'!F257:G257) + 'Оценка'!G257)/6 + 
    2*(('Оценка'!G257 - 'Оценка'!F257)/6)
  )/5
) * 
(
  (
    ('PM (Расчеты)'!$C$22/8 + 'PM (Расчеты)'!$C$23/40) + 
    'PM (Расчеты)'!$C$21/100 + 'PM (Расчеты)'!$C$25/100 + 
    'PM (Расчеты)'!$C$26/100
  ) + 1
)))
 * 8 * 60 * 60
</f>
        <v>0</v>
      </c>
      <c r="J258" s="252" t="str">
        <f>'Оценка'!B261</f>
        <v/>
      </c>
      <c r="K258" s="253" t="str">
        <f t="shared" si="6"/>
        <v/>
      </c>
      <c r="L258" s="253" t="str">
        <f t="shared" si="7"/>
        <v/>
      </c>
    </row>
    <row r="259">
      <c r="A259" s="247" t="str">
        <f>'Оценка'!C262</f>
        <v/>
      </c>
      <c r="B259" s="247" t="str">
        <f>'Оценка'!D262</f>
        <v/>
      </c>
      <c r="C259" s="249" t="str">
        <f t="shared" si="1"/>
        <v/>
      </c>
      <c r="D259" s="249" t="str">
        <f t="shared" si="2"/>
        <v/>
      </c>
      <c r="E259" s="249" t="str">
        <f t="shared" si="3"/>
        <v/>
      </c>
      <c r="F259" s="158" t="str">
        <f t="shared" si="4"/>
        <v/>
      </c>
      <c r="G259" s="247" t="str">
        <f>IF(A259&lt;&gt;"", 'Sales (Итоги оценки)'!$C$4, "")</f>
        <v/>
      </c>
      <c r="H259" s="249" t="str">
        <f t="shared" si="5"/>
        <v/>
      </c>
      <c r="I259" s="251">
        <f>IF(OR(ISBLANK('Оценка'!F258), ISBLANK('Оценка'!G258)), "", 
(AVERAGE(
  (
    ('Оценка'!F258 + 4*AVERAGE('Оценка'!F258:G258) + 'Оценка'!G258)/6 - 
    2*(('Оценка'!G258 - 'Оценка'!F258)/6)
  )/5 , 
  (
    ('Оценка'!F258 + 4*AVERAGE('Оценка'!F258:G258) + 'Оценка'!G258)/6 + 
    2*(('Оценка'!G258 - 'Оценка'!F258)/6)
  )/5
) * 
(
  (
    ('PM (Расчеты)'!$C$22/8 + 'PM (Расчеты)'!$C$23/40) + 
    'PM (Расчеты)'!$C$21/100 + 'PM (Расчеты)'!$C$25/100 + 
    'PM (Расчеты)'!$C$26/100
  ) + 1
)))
 * 8 * 60 * 60
</f>
        <v>0</v>
      </c>
      <c r="J259" s="252" t="str">
        <f>'Оценка'!B262</f>
        <v/>
      </c>
      <c r="K259" s="253" t="str">
        <f t="shared" si="6"/>
        <v/>
      </c>
      <c r="L259" s="253" t="str">
        <f t="shared" si="7"/>
        <v/>
      </c>
    </row>
    <row r="260">
      <c r="A260" s="247" t="str">
        <f>'Оценка'!C263</f>
        <v/>
      </c>
      <c r="B260" s="247" t="str">
        <f>'Оценка'!D263</f>
        <v/>
      </c>
      <c r="C260" s="249" t="str">
        <f t="shared" si="1"/>
        <v/>
      </c>
      <c r="D260" s="249" t="str">
        <f t="shared" si="2"/>
        <v/>
      </c>
      <c r="E260" s="249" t="str">
        <f t="shared" si="3"/>
        <v/>
      </c>
      <c r="F260" s="158" t="str">
        <f t="shared" si="4"/>
        <v/>
      </c>
      <c r="G260" s="247" t="str">
        <f>IF(A260&lt;&gt;"", 'Sales (Итоги оценки)'!$C$4, "")</f>
        <v/>
      </c>
      <c r="H260" s="249" t="str">
        <f t="shared" si="5"/>
        <v/>
      </c>
      <c r="I260" s="251">
        <f>IF(OR(ISBLANK('Оценка'!F259), ISBLANK('Оценка'!G259)), "", 
(AVERAGE(
  (
    ('Оценка'!F259 + 4*AVERAGE('Оценка'!F259:G259) + 'Оценка'!G259)/6 - 
    2*(('Оценка'!G259 - 'Оценка'!F259)/6)
  )/5 , 
  (
    ('Оценка'!F259 + 4*AVERAGE('Оценка'!F259:G259) + 'Оценка'!G259)/6 + 
    2*(('Оценка'!G259 - 'Оценка'!F259)/6)
  )/5
) * 
(
  (
    ('PM (Расчеты)'!$C$22/8 + 'PM (Расчеты)'!$C$23/40) + 
    'PM (Расчеты)'!$C$21/100 + 'PM (Расчеты)'!$C$25/100 + 
    'PM (Расчеты)'!$C$26/100
  ) + 1
)))
 * 8 * 60 * 60
</f>
        <v>0</v>
      </c>
      <c r="J260" s="252" t="str">
        <f>'Оценка'!B263</f>
        <v/>
      </c>
      <c r="K260" s="253" t="str">
        <f t="shared" si="6"/>
        <v/>
      </c>
      <c r="L260" s="253" t="str">
        <f t="shared" si="7"/>
        <v/>
      </c>
    </row>
    <row r="261">
      <c r="A261" s="247" t="str">
        <f>'Оценка'!C264</f>
        <v/>
      </c>
      <c r="B261" s="247" t="str">
        <f>'Оценка'!D264</f>
        <v/>
      </c>
      <c r="C261" s="249" t="str">
        <f t="shared" si="1"/>
        <v/>
      </c>
      <c r="D261" s="249" t="str">
        <f t="shared" si="2"/>
        <v/>
      </c>
      <c r="E261" s="249" t="str">
        <f t="shared" si="3"/>
        <v/>
      </c>
      <c r="F261" s="158" t="str">
        <f t="shared" si="4"/>
        <v/>
      </c>
      <c r="G261" s="247" t="str">
        <f>IF(A261&lt;&gt;"", 'Sales (Итоги оценки)'!$C$4, "")</f>
        <v/>
      </c>
      <c r="H261" s="249" t="str">
        <f t="shared" si="5"/>
        <v/>
      </c>
      <c r="I261" s="251">
        <f>IF(OR(ISBLANK('Оценка'!F260), ISBLANK('Оценка'!G260)), "", 
(AVERAGE(
  (
    ('Оценка'!F260 + 4*AVERAGE('Оценка'!F260:G260) + 'Оценка'!G260)/6 - 
    2*(('Оценка'!G260 - 'Оценка'!F260)/6)
  )/5 , 
  (
    ('Оценка'!F260 + 4*AVERAGE('Оценка'!F260:G260) + 'Оценка'!G260)/6 + 
    2*(('Оценка'!G260 - 'Оценка'!F260)/6)
  )/5
) * 
(
  (
    ('PM (Расчеты)'!$C$22/8 + 'PM (Расчеты)'!$C$23/40) + 
    'PM (Расчеты)'!$C$21/100 + 'PM (Расчеты)'!$C$25/100 + 
    'PM (Расчеты)'!$C$26/100
  ) + 1
)))
 * 8 * 60 * 60
</f>
        <v>0</v>
      </c>
      <c r="J261" s="252" t="str">
        <f>'Оценка'!B264</f>
        <v/>
      </c>
      <c r="K261" s="253" t="str">
        <f t="shared" si="6"/>
        <v/>
      </c>
      <c r="L261" s="253" t="str">
        <f t="shared" si="7"/>
        <v/>
      </c>
    </row>
    <row r="262">
      <c r="A262" s="247" t="str">
        <f>'Оценка'!C265</f>
        <v/>
      </c>
      <c r="B262" s="247" t="str">
        <f>'Оценка'!D265</f>
        <v/>
      </c>
      <c r="C262" s="249" t="str">
        <f t="shared" si="1"/>
        <v/>
      </c>
      <c r="D262" s="249" t="str">
        <f t="shared" si="2"/>
        <v/>
      </c>
      <c r="E262" s="249" t="str">
        <f t="shared" si="3"/>
        <v/>
      </c>
      <c r="F262" s="158" t="str">
        <f t="shared" si="4"/>
        <v/>
      </c>
      <c r="G262" s="247" t="str">
        <f>IF(A262&lt;&gt;"", 'Sales (Итоги оценки)'!$C$4, "")</f>
        <v/>
      </c>
      <c r="H262" s="249" t="str">
        <f t="shared" si="5"/>
        <v/>
      </c>
      <c r="I262" s="251">
        <f>IF(OR(ISBLANK('Оценка'!F261), ISBLANK('Оценка'!G261)), "", 
(AVERAGE(
  (
    ('Оценка'!F261 + 4*AVERAGE('Оценка'!F261:G261) + 'Оценка'!G261)/6 - 
    2*(('Оценка'!G261 - 'Оценка'!F261)/6)
  )/5 , 
  (
    ('Оценка'!F261 + 4*AVERAGE('Оценка'!F261:G261) + 'Оценка'!G261)/6 + 
    2*(('Оценка'!G261 - 'Оценка'!F261)/6)
  )/5
) * 
(
  (
    ('PM (Расчеты)'!$C$22/8 + 'PM (Расчеты)'!$C$23/40) + 
    'PM (Расчеты)'!$C$21/100 + 'PM (Расчеты)'!$C$25/100 + 
    'PM (Расчеты)'!$C$26/100
  ) + 1
)))
 * 8 * 60 * 60
</f>
        <v>0</v>
      </c>
      <c r="J262" s="252" t="str">
        <f>'Оценка'!B265</f>
        <v/>
      </c>
      <c r="K262" s="253" t="str">
        <f t="shared" si="6"/>
        <v/>
      </c>
      <c r="L262" s="253" t="str">
        <f t="shared" si="7"/>
        <v/>
      </c>
    </row>
    <row r="263">
      <c r="A263" s="247" t="str">
        <f>'Оценка'!C266</f>
        <v/>
      </c>
      <c r="B263" s="247" t="str">
        <f>'Оценка'!D266</f>
        <v/>
      </c>
      <c r="C263" s="249" t="str">
        <f t="shared" si="1"/>
        <v/>
      </c>
      <c r="D263" s="249" t="str">
        <f t="shared" si="2"/>
        <v/>
      </c>
      <c r="E263" s="249" t="str">
        <f t="shared" si="3"/>
        <v/>
      </c>
      <c r="F263" s="158" t="str">
        <f t="shared" si="4"/>
        <v/>
      </c>
      <c r="G263" s="247" t="str">
        <f>IF(A263&lt;&gt;"", 'Sales (Итоги оценки)'!$C$4, "")</f>
        <v/>
      </c>
      <c r="H263" s="249" t="str">
        <f t="shared" si="5"/>
        <v/>
      </c>
      <c r="I263" s="251">
        <f>IF(OR(ISBLANK('Оценка'!F262), ISBLANK('Оценка'!G262)), "", 
(AVERAGE(
  (
    ('Оценка'!F262 + 4*AVERAGE('Оценка'!F262:G262) + 'Оценка'!G262)/6 - 
    2*(('Оценка'!G262 - 'Оценка'!F262)/6)
  )/5 , 
  (
    ('Оценка'!F262 + 4*AVERAGE('Оценка'!F262:G262) + 'Оценка'!G262)/6 + 
    2*(('Оценка'!G262 - 'Оценка'!F262)/6)
  )/5
) * 
(
  (
    ('PM (Расчеты)'!$C$22/8 + 'PM (Расчеты)'!$C$23/40) + 
    'PM (Расчеты)'!$C$21/100 + 'PM (Расчеты)'!$C$25/100 + 
    'PM (Расчеты)'!$C$26/100
  ) + 1
)))
 * 8 * 60 * 60
</f>
        <v>0</v>
      </c>
      <c r="J263" s="252" t="str">
        <f>'Оценка'!B266</f>
        <v/>
      </c>
      <c r="K263" s="253" t="str">
        <f t="shared" si="6"/>
        <v/>
      </c>
      <c r="L263" s="253" t="str">
        <f t="shared" si="7"/>
        <v/>
      </c>
    </row>
    <row r="264">
      <c r="A264" s="247" t="str">
        <f>'Оценка'!C267</f>
        <v/>
      </c>
      <c r="B264" s="247" t="str">
        <f>'Оценка'!D267</f>
        <v/>
      </c>
      <c r="C264" s="249" t="str">
        <f t="shared" si="1"/>
        <v/>
      </c>
      <c r="D264" s="249" t="str">
        <f t="shared" si="2"/>
        <v/>
      </c>
      <c r="E264" s="249" t="str">
        <f t="shared" si="3"/>
        <v/>
      </c>
      <c r="F264" s="158" t="str">
        <f t="shared" si="4"/>
        <v/>
      </c>
      <c r="G264" s="247" t="str">
        <f>IF(A264&lt;&gt;"", 'Sales (Итоги оценки)'!$C$4, "")</f>
        <v/>
      </c>
      <c r="H264" s="249" t="str">
        <f t="shared" si="5"/>
        <v/>
      </c>
      <c r="I264" s="251">
        <f>IF(OR(ISBLANK('Оценка'!F263), ISBLANK('Оценка'!G263)), "", 
(AVERAGE(
  (
    ('Оценка'!F263 + 4*AVERAGE('Оценка'!F263:G263) + 'Оценка'!G263)/6 - 
    2*(('Оценка'!G263 - 'Оценка'!F263)/6)
  )/5 , 
  (
    ('Оценка'!F263 + 4*AVERAGE('Оценка'!F263:G263) + 'Оценка'!G263)/6 + 
    2*(('Оценка'!G263 - 'Оценка'!F263)/6)
  )/5
) * 
(
  (
    ('PM (Расчеты)'!$C$22/8 + 'PM (Расчеты)'!$C$23/40) + 
    'PM (Расчеты)'!$C$21/100 + 'PM (Расчеты)'!$C$25/100 + 
    'PM (Расчеты)'!$C$26/100
  ) + 1
)))
 * 8 * 60 * 60
</f>
        <v>0</v>
      </c>
      <c r="J264" s="252" t="str">
        <f>'Оценка'!B267</f>
        <v/>
      </c>
      <c r="K264" s="253" t="str">
        <f t="shared" si="6"/>
        <v/>
      </c>
      <c r="L264" s="253" t="str">
        <f t="shared" si="7"/>
        <v/>
      </c>
    </row>
    <row r="265">
      <c r="A265" s="247" t="str">
        <f>'Оценка'!C268</f>
        <v/>
      </c>
      <c r="B265" s="247" t="str">
        <f>'Оценка'!D268</f>
        <v/>
      </c>
      <c r="C265" s="249" t="str">
        <f t="shared" si="1"/>
        <v/>
      </c>
      <c r="D265" s="249" t="str">
        <f t="shared" si="2"/>
        <v/>
      </c>
      <c r="E265" s="249" t="str">
        <f t="shared" si="3"/>
        <v/>
      </c>
      <c r="F265" s="158" t="str">
        <f t="shared" si="4"/>
        <v/>
      </c>
      <c r="G265" s="247" t="str">
        <f>IF(A265&lt;&gt;"", 'Sales (Итоги оценки)'!$C$4, "")</f>
        <v/>
      </c>
      <c r="H265" s="249" t="str">
        <f t="shared" si="5"/>
        <v/>
      </c>
      <c r="I265" s="251">
        <f>IF(OR(ISBLANK('Оценка'!F264), ISBLANK('Оценка'!G264)), "", 
(AVERAGE(
  (
    ('Оценка'!F264 + 4*AVERAGE('Оценка'!F264:G264) + 'Оценка'!G264)/6 - 
    2*(('Оценка'!G264 - 'Оценка'!F264)/6)
  )/5 , 
  (
    ('Оценка'!F264 + 4*AVERAGE('Оценка'!F264:G264) + 'Оценка'!G264)/6 + 
    2*(('Оценка'!G264 - 'Оценка'!F264)/6)
  )/5
) * 
(
  (
    ('PM (Расчеты)'!$C$22/8 + 'PM (Расчеты)'!$C$23/40) + 
    'PM (Расчеты)'!$C$21/100 + 'PM (Расчеты)'!$C$25/100 + 
    'PM (Расчеты)'!$C$26/100
  ) + 1
)))
 * 8 * 60 * 60
</f>
        <v>0</v>
      </c>
      <c r="J265" s="252" t="str">
        <f>'Оценка'!B268</f>
        <v/>
      </c>
      <c r="K265" s="253" t="str">
        <f t="shared" si="6"/>
        <v/>
      </c>
      <c r="L265" s="253" t="str">
        <f t="shared" si="7"/>
        <v/>
      </c>
    </row>
    <row r="266">
      <c r="A266" s="247" t="str">
        <f>'Оценка'!C269</f>
        <v/>
      </c>
      <c r="B266" s="247" t="str">
        <f>'Оценка'!D269</f>
        <v/>
      </c>
      <c r="C266" s="249" t="str">
        <f t="shared" si="1"/>
        <v/>
      </c>
      <c r="D266" s="249" t="str">
        <f t="shared" si="2"/>
        <v/>
      </c>
      <c r="E266" s="249" t="str">
        <f t="shared" si="3"/>
        <v/>
      </c>
      <c r="F266" s="158" t="str">
        <f t="shared" si="4"/>
        <v/>
      </c>
      <c r="G266" s="247" t="str">
        <f>IF(A266&lt;&gt;"", 'Sales (Итоги оценки)'!$C$4, "")</f>
        <v/>
      </c>
      <c r="H266" s="249" t="str">
        <f t="shared" si="5"/>
        <v/>
      </c>
      <c r="I266" s="251">
        <f>IF(OR(ISBLANK('Оценка'!F265), ISBLANK('Оценка'!G265)), "", 
(AVERAGE(
  (
    ('Оценка'!F265 + 4*AVERAGE('Оценка'!F265:G265) + 'Оценка'!G265)/6 - 
    2*(('Оценка'!G265 - 'Оценка'!F265)/6)
  )/5 , 
  (
    ('Оценка'!F265 + 4*AVERAGE('Оценка'!F265:G265) + 'Оценка'!G265)/6 + 
    2*(('Оценка'!G265 - 'Оценка'!F265)/6)
  )/5
) * 
(
  (
    ('PM (Расчеты)'!$C$22/8 + 'PM (Расчеты)'!$C$23/40) + 
    'PM (Расчеты)'!$C$21/100 + 'PM (Расчеты)'!$C$25/100 + 
    'PM (Расчеты)'!$C$26/100
  ) + 1
)))
 * 8 * 60 * 60
</f>
        <v>0</v>
      </c>
      <c r="J266" s="252" t="str">
        <f>'Оценка'!B269</f>
        <v/>
      </c>
      <c r="K266" s="253" t="str">
        <f t="shared" si="6"/>
        <v/>
      </c>
      <c r="L266" s="253" t="str">
        <f t="shared" si="7"/>
        <v/>
      </c>
    </row>
    <row r="267">
      <c r="A267" s="247" t="str">
        <f>'Оценка'!C270</f>
        <v/>
      </c>
      <c r="B267" s="247" t="str">
        <f>'Оценка'!D270</f>
        <v/>
      </c>
      <c r="C267" s="249" t="str">
        <f t="shared" si="1"/>
        <v/>
      </c>
      <c r="D267" s="249" t="str">
        <f t="shared" si="2"/>
        <v/>
      </c>
      <c r="E267" s="249" t="str">
        <f t="shared" si="3"/>
        <v/>
      </c>
      <c r="F267" s="158" t="str">
        <f t="shared" si="4"/>
        <v/>
      </c>
      <c r="G267" s="247" t="str">
        <f>IF(A267&lt;&gt;"", 'Sales (Итоги оценки)'!$C$4, "")</f>
        <v/>
      </c>
      <c r="H267" s="249" t="str">
        <f t="shared" si="5"/>
        <v/>
      </c>
      <c r="I267" s="251">
        <f>IF(OR(ISBLANK('Оценка'!F266), ISBLANK('Оценка'!G266)), "", 
(AVERAGE(
  (
    ('Оценка'!F266 + 4*AVERAGE('Оценка'!F266:G266) + 'Оценка'!G266)/6 - 
    2*(('Оценка'!G266 - 'Оценка'!F266)/6)
  )/5 , 
  (
    ('Оценка'!F266 + 4*AVERAGE('Оценка'!F266:G266) + 'Оценка'!G266)/6 + 
    2*(('Оценка'!G266 - 'Оценка'!F266)/6)
  )/5
) * 
(
  (
    ('PM (Расчеты)'!$C$22/8 + 'PM (Расчеты)'!$C$23/40) + 
    'PM (Расчеты)'!$C$21/100 + 'PM (Расчеты)'!$C$25/100 + 
    'PM (Расчеты)'!$C$26/100
  ) + 1
)))
 * 8 * 60 * 60
</f>
        <v>0</v>
      </c>
      <c r="J267" s="252" t="str">
        <f>'Оценка'!B270</f>
        <v/>
      </c>
      <c r="K267" s="253" t="str">
        <f t="shared" si="6"/>
        <v/>
      </c>
      <c r="L267" s="253" t="str">
        <f t="shared" si="7"/>
        <v/>
      </c>
    </row>
    <row r="268">
      <c r="A268" s="247" t="str">
        <f>'Оценка'!C271</f>
        <v/>
      </c>
      <c r="B268" s="247" t="str">
        <f>'Оценка'!D271</f>
        <v/>
      </c>
      <c r="C268" s="249" t="str">
        <f t="shared" si="1"/>
        <v/>
      </c>
      <c r="D268" s="249" t="str">
        <f t="shared" si="2"/>
        <v/>
      </c>
      <c r="E268" s="249" t="str">
        <f t="shared" si="3"/>
        <v/>
      </c>
      <c r="F268" s="158" t="str">
        <f t="shared" si="4"/>
        <v/>
      </c>
      <c r="G268" s="247" t="str">
        <f>IF(A268&lt;&gt;"", 'Sales (Итоги оценки)'!$C$4, "")</f>
        <v/>
      </c>
      <c r="H268" s="249" t="str">
        <f t="shared" si="5"/>
        <v/>
      </c>
      <c r="I268" s="251">
        <f>IF(OR(ISBLANK('Оценка'!F267), ISBLANK('Оценка'!G267)), "", 
(AVERAGE(
  (
    ('Оценка'!F267 + 4*AVERAGE('Оценка'!F267:G267) + 'Оценка'!G267)/6 - 
    2*(('Оценка'!G267 - 'Оценка'!F267)/6)
  )/5 , 
  (
    ('Оценка'!F267 + 4*AVERAGE('Оценка'!F267:G267) + 'Оценка'!G267)/6 + 
    2*(('Оценка'!G267 - 'Оценка'!F267)/6)
  )/5
) * 
(
  (
    ('PM (Расчеты)'!$C$22/8 + 'PM (Расчеты)'!$C$23/40) + 
    'PM (Расчеты)'!$C$21/100 + 'PM (Расчеты)'!$C$25/100 + 
    'PM (Расчеты)'!$C$26/100
  ) + 1
)))
 * 8 * 60 * 60
</f>
        <v>0</v>
      </c>
      <c r="J268" s="252" t="str">
        <f>'Оценка'!B271</f>
        <v/>
      </c>
      <c r="K268" s="253" t="str">
        <f t="shared" si="6"/>
        <v/>
      </c>
      <c r="L268" s="253" t="str">
        <f t="shared" si="7"/>
        <v/>
      </c>
    </row>
    <row r="269">
      <c r="A269" s="247" t="str">
        <f>'Оценка'!C272</f>
        <v/>
      </c>
      <c r="B269" s="247" t="str">
        <f>'Оценка'!D272</f>
        <v/>
      </c>
      <c r="C269" s="249" t="str">
        <f t="shared" si="1"/>
        <v/>
      </c>
      <c r="D269" s="249" t="str">
        <f t="shared" si="2"/>
        <v/>
      </c>
      <c r="E269" s="249" t="str">
        <f t="shared" si="3"/>
        <v/>
      </c>
      <c r="F269" s="158" t="str">
        <f t="shared" si="4"/>
        <v/>
      </c>
      <c r="G269" s="247" t="str">
        <f>IF(A269&lt;&gt;"", 'Sales (Итоги оценки)'!$C$4, "")</f>
        <v/>
      </c>
      <c r="H269" s="249" t="str">
        <f t="shared" si="5"/>
        <v/>
      </c>
      <c r="I269" s="251">
        <f>IF(OR(ISBLANK('Оценка'!F268), ISBLANK('Оценка'!G268)), "", 
(AVERAGE(
  (
    ('Оценка'!F268 + 4*AVERAGE('Оценка'!F268:G268) + 'Оценка'!G268)/6 - 
    2*(('Оценка'!G268 - 'Оценка'!F268)/6)
  )/5 , 
  (
    ('Оценка'!F268 + 4*AVERAGE('Оценка'!F268:G268) + 'Оценка'!G268)/6 + 
    2*(('Оценка'!G268 - 'Оценка'!F268)/6)
  )/5
) * 
(
  (
    ('PM (Расчеты)'!$C$22/8 + 'PM (Расчеты)'!$C$23/40) + 
    'PM (Расчеты)'!$C$21/100 + 'PM (Расчеты)'!$C$25/100 + 
    'PM (Расчеты)'!$C$26/100
  ) + 1
)))
 * 8 * 60 * 60
</f>
        <v>0</v>
      </c>
      <c r="J269" s="252" t="str">
        <f>'Оценка'!B272</f>
        <v/>
      </c>
      <c r="K269" s="253" t="str">
        <f t="shared" si="6"/>
        <v/>
      </c>
      <c r="L269" s="253" t="str">
        <f t="shared" si="7"/>
        <v/>
      </c>
    </row>
    <row r="270">
      <c r="A270" s="247" t="str">
        <f>'Оценка'!C273</f>
        <v/>
      </c>
      <c r="B270" s="247" t="str">
        <f>'Оценка'!D273</f>
        <v/>
      </c>
      <c r="C270" s="249" t="str">
        <f t="shared" si="1"/>
        <v/>
      </c>
      <c r="D270" s="249" t="str">
        <f t="shared" si="2"/>
        <v/>
      </c>
      <c r="E270" s="249" t="str">
        <f t="shared" si="3"/>
        <v/>
      </c>
      <c r="F270" s="158" t="str">
        <f t="shared" si="4"/>
        <v/>
      </c>
      <c r="G270" s="247" t="str">
        <f>IF(A270&lt;&gt;"", 'Sales (Итоги оценки)'!$C$4, "")</f>
        <v/>
      </c>
      <c r="H270" s="249" t="str">
        <f t="shared" si="5"/>
        <v/>
      </c>
      <c r="I270" s="251">
        <f>IF(OR(ISBLANK('Оценка'!F269), ISBLANK('Оценка'!G269)), "", 
(AVERAGE(
  (
    ('Оценка'!F269 + 4*AVERAGE('Оценка'!F269:G269) + 'Оценка'!G269)/6 - 
    2*(('Оценка'!G269 - 'Оценка'!F269)/6)
  )/5 , 
  (
    ('Оценка'!F269 + 4*AVERAGE('Оценка'!F269:G269) + 'Оценка'!G269)/6 + 
    2*(('Оценка'!G269 - 'Оценка'!F269)/6)
  )/5
) * 
(
  (
    ('PM (Расчеты)'!$C$22/8 + 'PM (Расчеты)'!$C$23/40) + 
    'PM (Расчеты)'!$C$21/100 + 'PM (Расчеты)'!$C$25/100 + 
    'PM (Расчеты)'!$C$26/100
  ) + 1
)))
 * 8 * 60 * 60
</f>
        <v>0</v>
      </c>
      <c r="J270" s="252" t="str">
        <f>'Оценка'!B273</f>
        <v/>
      </c>
      <c r="K270" s="253" t="str">
        <f t="shared" si="6"/>
        <v/>
      </c>
      <c r="L270" s="253" t="str">
        <f t="shared" si="7"/>
        <v/>
      </c>
    </row>
    <row r="271">
      <c r="A271" s="247" t="str">
        <f>'Оценка'!C274</f>
        <v/>
      </c>
      <c r="B271" s="247" t="str">
        <f>'Оценка'!D274</f>
        <v/>
      </c>
      <c r="C271" s="249" t="str">
        <f t="shared" si="1"/>
        <v/>
      </c>
      <c r="D271" s="249" t="str">
        <f t="shared" si="2"/>
        <v/>
      </c>
      <c r="E271" s="249" t="str">
        <f t="shared" si="3"/>
        <v/>
      </c>
      <c r="F271" s="158" t="str">
        <f t="shared" si="4"/>
        <v/>
      </c>
      <c r="G271" s="247" t="str">
        <f>IF(A271&lt;&gt;"", 'Sales (Итоги оценки)'!$C$4, "")</f>
        <v/>
      </c>
      <c r="H271" s="249" t="str">
        <f t="shared" si="5"/>
        <v/>
      </c>
      <c r="I271" s="251">
        <f>IF(OR(ISBLANK('Оценка'!F270), ISBLANK('Оценка'!G270)), "", 
(AVERAGE(
  (
    ('Оценка'!F270 + 4*AVERAGE('Оценка'!F270:G270) + 'Оценка'!G270)/6 - 
    2*(('Оценка'!G270 - 'Оценка'!F270)/6)
  )/5 , 
  (
    ('Оценка'!F270 + 4*AVERAGE('Оценка'!F270:G270) + 'Оценка'!G270)/6 + 
    2*(('Оценка'!G270 - 'Оценка'!F270)/6)
  )/5
) * 
(
  (
    ('PM (Расчеты)'!$C$22/8 + 'PM (Расчеты)'!$C$23/40) + 
    'PM (Расчеты)'!$C$21/100 + 'PM (Расчеты)'!$C$25/100 + 
    'PM (Расчеты)'!$C$26/100
  ) + 1
)))
 * 8 * 60 * 60
</f>
        <v>0</v>
      </c>
      <c r="J271" s="252" t="str">
        <f>'Оценка'!B274</f>
        <v/>
      </c>
      <c r="K271" s="253" t="str">
        <f t="shared" si="6"/>
        <v/>
      </c>
      <c r="L271" s="253" t="str">
        <f t="shared" si="7"/>
        <v/>
      </c>
    </row>
    <row r="272">
      <c r="A272" s="247" t="str">
        <f>'Оценка'!C275</f>
        <v/>
      </c>
      <c r="B272" s="247" t="str">
        <f>'Оценка'!D275</f>
        <v/>
      </c>
      <c r="C272" s="249" t="str">
        <f t="shared" si="1"/>
        <v/>
      </c>
      <c r="D272" s="249" t="str">
        <f t="shared" si="2"/>
        <v/>
      </c>
      <c r="E272" s="249" t="str">
        <f t="shared" si="3"/>
        <v/>
      </c>
      <c r="F272" s="158" t="str">
        <f t="shared" si="4"/>
        <v/>
      </c>
      <c r="G272" s="247" t="str">
        <f>IF(A272&lt;&gt;"", 'Sales (Итоги оценки)'!$C$4, "")</f>
        <v/>
      </c>
      <c r="H272" s="249" t="str">
        <f t="shared" si="5"/>
        <v/>
      </c>
      <c r="I272" s="251">
        <f>IF(OR(ISBLANK('Оценка'!F271), ISBLANK('Оценка'!G271)), "", 
(AVERAGE(
  (
    ('Оценка'!F271 + 4*AVERAGE('Оценка'!F271:G271) + 'Оценка'!G271)/6 - 
    2*(('Оценка'!G271 - 'Оценка'!F271)/6)
  )/5 , 
  (
    ('Оценка'!F271 + 4*AVERAGE('Оценка'!F271:G271) + 'Оценка'!G271)/6 + 
    2*(('Оценка'!G271 - 'Оценка'!F271)/6)
  )/5
) * 
(
  (
    ('PM (Расчеты)'!$C$22/8 + 'PM (Расчеты)'!$C$23/40) + 
    'PM (Расчеты)'!$C$21/100 + 'PM (Расчеты)'!$C$25/100 + 
    'PM (Расчеты)'!$C$26/100
  ) + 1
)))
 * 8 * 60 * 60
</f>
        <v>0</v>
      </c>
      <c r="J272" s="252" t="str">
        <f>'Оценка'!B275</f>
        <v/>
      </c>
      <c r="K272" s="253" t="str">
        <f t="shared" si="6"/>
        <v/>
      </c>
      <c r="L272" s="253" t="str">
        <f t="shared" si="7"/>
        <v/>
      </c>
    </row>
    <row r="273">
      <c r="A273" s="247" t="str">
        <f>'Оценка'!C276</f>
        <v/>
      </c>
      <c r="B273" s="247" t="str">
        <f>'Оценка'!D276</f>
        <v/>
      </c>
      <c r="C273" s="249" t="str">
        <f t="shared" si="1"/>
        <v/>
      </c>
      <c r="D273" s="249" t="str">
        <f t="shared" si="2"/>
        <v/>
      </c>
      <c r="E273" s="249" t="str">
        <f t="shared" si="3"/>
        <v/>
      </c>
      <c r="F273" s="158" t="str">
        <f t="shared" si="4"/>
        <v/>
      </c>
      <c r="G273" s="247" t="str">
        <f>IF(A273&lt;&gt;"", 'Sales (Итоги оценки)'!$C$4, "")</f>
        <v/>
      </c>
      <c r="H273" s="249" t="str">
        <f t="shared" si="5"/>
        <v/>
      </c>
      <c r="I273" s="251">
        <f>IF(OR(ISBLANK('Оценка'!F272), ISBLANK('Оценка'!G272)), "", 
(AVERAGE(
  (
    ('Оценка'!F272 + 4*AVERAGE('Оценка'!F272:G272) + 'Оценка'!G272)/6 - 
    2*(('Оценка'!G272 - 'Оценка'!F272)/6)
  )/5 , 
  (
    ('Оценка'!F272 + 4*AVERAGE('Оценка'!F272:G272) + 'Оценка'!G272)/6 + 
    2*(('Оценка'!G272 - 'Оценка'!F272)/6)
  )/5
) * 
(
  (
    ('PM (Расчеты)'!$C$22/8 + 'PM (Расчеты)'!$C$23/40) + 
    'PM (Расчеты)'!$C$21/100 + 'PM (Расчеты)'!$C$25/100 + 
    'PM (Расчеты)'!$C$26/100
  ) + 1
)))
 * 8 * 60 * 60
</f>
        <v>0</v>
      </c>
      <c r="J273" s="252" t="str">
        <f>'Оценка'!B276</f>
        <v/>
      </c>
      <c r="K273" s="253" t="str">
        <f t="shared" si="6"/>
        <v/>
      </c>
      <c r="L273" s="253" t="str">
        <f t="shared" si="7"/>
        <v/>
      </c>
    </row>
    <row r="274">
      <c r="A274" s="247" t="str">
        <f>'Оценка'!C277</f>
        <v/>
      </c>
      <c r="B274" s="247" t="str">
        <f>'Оценка'!D277</f>
        <v/>
      </c>
      <c r="C274" s="249" t="str">
        <f t="shared" si="1"/>
        <v/>
      </c>
      <c r="D274" s="249" t="str">
        <f t="shared" si="2"/>
        <v/>
      </c>
      <c r="E274" s="249" t="str">
        <f t="shared" si="3"/>
        <v/>
      </c>
      <c r="F274" s="158" t="str">
        <f t="shared" si="4"/>
        <v/>
      </c>
      <c r="G274" s="247" t="str">
        <f>IF(A274&lt;&gt;"", 'Sales (Итоги оценки)'!$C$4, "")</f>
        <v/>
      </c>
      <c r="H274" s="249" t="str">
        <f t="shared" si="5"/>
        <v/>
      </c>
      <c r="I274" s="251">
        <f>IF(OR(ISBLANK('Оценка'!F273), ISBLANK('Оценка'!G273)), "", 
(AVERAGE(
  (
    ('Оценка'!F273 + 4*AVERAGE('Оценка'!F273:G273) + 'Оценка'!G273)/6 - 
    2*(('Оценка'!G273 - 'Оценка'!F273)/6)
  )/5 , 
  (
    ('Оценка'!F273 + 4*AVERAGE('Оценка'!F273:G273) + 'Оценка'!G273)/6 + 
    2*(('Оценка'!G273 - 'Оценка'!F273)/6)
  )/5
) * 
(
  (
    ('PM (Расчеты)'!$C$22/8 + 'PM (Расчеты)'!$C$23/40) + 
    'PM (Расчеты)'!$C$21/100 + 'PM (Расчеты)'!$C$25/100 + 
    'PM (Расчеты)'!$C$26/100
  ) + 1
)))
 * 8 * 60 * 60
</f>
        <v>0</v>
      </c>
      <c r="J274" s="252" t="str">
        <f>'Оценка'!B277</f>
        <v/>
      </c>
      <c r="K274" s="253" t="str">
        <f t="shared" si="6"/>
        <v/>
      </c>
      <c r="L274" s="253" t="str">
        <f t="shared" si="7"/>
        <v/>
      </c>
    </row>
    <row r="275">
      <c r="A275" s="247" t="str">
        <f>'Оценка'!C278</f>
        <v/>
      </c>
      <c r="B275" s="247" t="str">
        <f>'Оценка'!D278</f>
        <v/>
      </c>
      <c r="C275" s="249" t="str">
        <f t="shared" si="1"/>
        <v/>
      </c>
      <c r="D275" s="249" t="str">
        <f t="shared" si="2"/>
        <v/>
      </c>
      <c r="E275" s="249" t="str">
        <f t="shared" si="3"/>
        <v/>
      </c>
      <c r="F275" s="158" t="str">
        <f t="shared" si="4"/>
        <v/>
      </c>
      <c r="G275" s="247" t="str">
        <f>IF(A275&lt;&gt;"", 'Sales (Итоги оценки)'!$C$4, "")</f>
        <v/>
      </c>
      <c r="H275" s="249" t="str">
        <f t="shared" si="5"/>
        <v/>
      </c>
      <c r="I275" s="251">
        <f>IF(OR(ISBLANK('Оценка'!F274), ISBLANK('Оценка'!G274)), "", 
(AVERAGE(
  (
    ('Оценка'!F274 + 4*AVERAGE('Оценка'!F274:G274) + 'Оценка'!G274)/6 - 
    2*(('Оценка'!G274 - 'Оценка'!F274)/6)
  )/5 , 
  (
    ('Оценка'!F274 + 4*AVERAGE('Оценка'!F274:G274) + 'Оценка'!G274)/6 + 
    2*(('Оценка'!G274 - 'Оценка'!F274)/6)
  )/5
) * 
(
  (
    ('PM (Расчеты)'!$C$22/8 + 'PM (Расчеты)'!$C$23/40) + 
    'PM (Расчеты)'!$C$21/100 + 'PM (Расчеты)'!$C$25/100 + 
    'PM (Расчеты)'!$C$26/100
  ) + 1
)))
 * 8 * 60 * 60
</f>
        <v>0</v>
      </c>
      <c r="J275" s="252" t="str">
        <f>'Оценка'!B278</f>
        <v/>
      </c>
      <c r="K275" s="253" t="str">
        <f t="shared" si="6"/>
        <v/>
      </c>
      <c r="L275" s="253" t="str">
        <f t="shared" si="7"/>
        <v/>
      </c>
    </row>
    <row r="276">
      <c r="A276" s="247" t="str">
        <f>'Оценка'!C279</f>
        <v/>
      </c>
      <c r="B276" s="247" t="str">
        <f>'Оценка'!D279</f>
        <v/>
      </c>
      <c r="C276" s="249" t="str">
        <f t="shared" si="1"/>
        <v/>
      </c>
      <c r="D276" s="249" t="str">
        <f t="shared" si="2"/>
        <v/>
      </c>
      <c r="E276" s="249" t="str">
        <f t="shared" si="3"/>
        <v/>
      </c>
      <c r="F276" s="158" t="str">
        <f t="shared" si="4"/>
        <v/>
      </c>
      <c r="G276" s="247" t="str">
        <f>IF(A276&lt;&gt;"", 'Sales (Итоги оценки)'!$C$4, "")</f>
        <v/>
      </c>
      <c r="H276" s="249" t="str">
        <f t="shared" si="5"/>
        <v/>
      </c>
      <c r="I276" s="251">
        <f>IF(OR(ISBLANK('Оценка'!F275), ISBLANK('Оценка'!G275)), "", 
(AVERAGE(
  (
    ('Оценка'!F275 + 4*AVERAGE('Оценка'!F275:G275) + 'Оценка'!G275)/6 - 
    2*(('Оценка'!G275 - 'Оценка'!F275)/6)
  )/5 , 
  (
    ('Оценка'!F275 + 4*AVERAGE('Оценка'!F275:G275) + 'Оценка'!G275)/6 + 
    2*(('Оценка'!G275 - 'Оценка'!F275)/6)
  )/5
) * 
(
  (
    ('PM (Расчеты)'!$C$22/8 + 'PM (Расчеты)'!$C$23/40) + 
    'PM (Расчеты)'!$C$21/100 + 'PM (Расчеты)'!$C$25/100 + 
    'PM (Расчеты)'!$C$26/100
  ) + 1
)))
 * 8 * 60 * 60
</f>
        <v>0</v>
      </c>
      <c r="J276" s="252" t="str">
        <f>'Оценка'!B279</f>
        <v/>
      </c>
      <c r="K276" s="253" t="str">
        <f t="shared" si="6"/>
        <v/>
      </c>
      <c r="L276" s="253" t="str">
        <f t="shared" si="7"/>
        <v/>
      </c>
    </row>
    <row r="277">
      <c r="A277" s="247" t="str">
        <f>'Оценка'!C280</f>
        <v/>
      </c>
      <c r="B277" s="247" t="str">
        <f>'Оценка'!D280</f>
        <v/>
      </c>
      <c r="C277" s="249" t="str">
        <f t="shared" si="1"/>
        <v/>
      </c>
      <c r="D277" s="249" t="str">
        <f t="shared" si="2"/>
        <v/>
      </c>
      <c r="E277" s="249" t="str">
        <f t="shared" si="3"/>
        <v/>
      </c>
      <c r="F277" s="158" t="str">
        <f t="shared" si="4"/>
        <v/>
      </c>
      <c r="G277" s="247" t="str">
        <f>IF(A277&lt;&gt;"", 'Sales (Итоги оценки)'!$C$4, "")</f>
        <v/>
      </c>
      <c r="H277" s="249" t="str">
        <f t="shared" si="5"/>
        <v/>
      </c>
      <c r="I277" s="251">
        <f>IF(OR(ISBLANK('Оценка'!F276), ISBLANK('Оценка'!G276)), "", 
(AVERAGE(
  (
    ('Оценка'!F276 + 4*AVERAGE('Оценка'!F276:G276) + 'Оценка'!G276)/6 - 
    2*(('Оценка'!G276 - 'Оценка'!F276)/6)
  )/5 , 
  (
    ('Оценка'!F276 + 4*AVERAGE('Оценка'!F276:G276) + 'Оценка'!G276)/6 + 
    2*(('Оценка'!G276 - 'Оценка'!F276)/6)
  )/5
) * 
(
  (
    ('PM (Расчеты)'!$C$22/8 + 'PM (Расчеты)'!$C$23/40) + 
    'PM (Расчеты)'!$C$21/100 + 'PM (Расчеты)'!$C$25/100 + 
    'PM (Расчеты)'!$C$26/100
  ) + 1
)))
 * 8 * 60 * 60
</f>
        <v>0</v>
      </c>
      <c r="J277" s="252" t="str">
        <f>'Оценка'!B280</f>
        <v/>
      </c>
      <c r="K277" s="253" t="str">
        <f t="shared" si="6"/>
        <v/>
      </c>
      <c r="L277" s="253" t="str">
        <f t="shared" si="7"/>
        <v/>
      </c>
    </row>
    <row r="278">
      <c r="A278" s="247" t="str">
        <f>'Оценка'!C281</f>
        <v/>
      </c>
      <c r="B278" s="247" t="str">
        <f>'Оценка'!D281</f>
        <v/>
      </c>
      <c r="C278" s="249" t="str">
        <f t="shared" si="1"/>
        <v/>
      </c>
      <c r="D278" s="249" t="str">
        <f t="shared" si="2"/>
        <v/>
      </c>
      <c r="E278" s="249" t="str">
        <f t="shared" si="3"/>
        <v/>
      </c>
      <c r="F278" s="158" t="str">
        <f t="shared" si="4"/>
        <v/>
      </c>
      <c r="G278" s="247" t="str">
        <f>IF(A278&lt;&gt;"", 'Sales (Итоги оценки)'!$C$4, "")</f>
        <v/>
      </c>
      <c r="H278" s="249" t="str">
        <f t="shared" si="5"/>
        <v/>
      </c>
      <c r="I278" s="251">
        <f>IF(OR(ISBLANK('Оценка'!F277), ISBLANK('Оценка'!G277)), "", 
(AVERAGE(
  (
    ('Оценка'!F277 + 4*AVERAGE('Оценка'!F277:G277) + 'Оценка'!G277)/6 - 
    2*(('Оценка'!G277 - 'Оценка'!F277)/6)
  )/5 , 
  (
    ('Оценка'!F277 + 4*AVERAGE('Оценка'!F277:G277) + 'Оценка'!G277)/6 + 
    2*(('Оценка'!G277 - 'Оценка'!F277)/6)
  )/5
) * 
(
  (
    ('PM (Расчеты)'!$C$22/8 + 'PM (Расчеты)'!$C$23/40) + 
    'PM (Расчеты)'!$C$21/100 + 'PM (Расчеты)'!$C$25/100 + 
    'PM (Расчеты)'!$C$26/100
  ) + 1
)))
 * 8 * 60 * 60
</f>
        <v>0</v>
      </c>
      <c r="J278" s="252" t="str">
        <f>'Оценка'!B281</f>
        <v/>
      </c>
      <c r="K278" s="253" t="str">
        <f t="shared" si="6"/>
        <v/>
      </c>
      <c r="L278" s="253" t="str">
        <f t="shared" si="7"/>
        <v/>
      </c>
    </row>
    <row r="279">
      <c r="A279" s="247" t="str">
        <f>'Оценка'!C282</f>
        <v/>
      </c>
      <c r="B279" s="247" t="str">
        <f>'Оценка'!D282</f>
        <v/>
      </c>
      <c r="C279" s="249" t="str">
        <f t="shared" si="1"/>
        <v/>
      </c>
      <c r="D279" s="249" t="str">
        <f t="shared" si="2"/>
        <v/>
      </c>
      <c r="E279" s="249" t="str">
        <f t="shared" si="3"/>
        <v/>
      </c>
      <c r="F279" s="158" t="str">
        <f t="shared" si="4"/>
        <v/>
      </c>
      <c r="G279" s="247" t="str">
        <f>IF(A279&lt;&gt;"", 'Sales (Итоги оценки)'!$C$4, "")</f>
        <v/>
      </c>
      <c r="H279" s="249" t="str">
        <f t="shared" si="5"/>
        <v/>
      </c>
      <c r="I279" s="251">
        <f>IF(OR(ISBLANK('Оценка'!F278), ISBLANK('Оценка'!G278)), "", 
(AVERAGE(
  (
    ('Оценка'!F278 + 4*AVERAGE('Оценка'!F278:G278) + 'Оценка'!G278)/6 - 
    2*(('Оценка'!G278 - 'Оценка'!F278)/6)
  )/5 , 
  (
    ('Оценка'!F278 + 4*AVERAGE('Оценка'!F278:G278) + 'Оценка'!G278)/6 + 
    2*(('Оценка'!G278 - 'Оценка'!F278)/6)
  )/5
) * 
(
  (
    ('PM (Расчеты)'!$C$22/8 + 'PM (Расчеты)'!$C$23/40) + 
    'PM (Расчеты)'!$C$21/100 + 'PM (Расчеты)'!$C$25/100 + 
    'PM (Расчеты)'!$C$26/100
  ) + 1
)))
 * 8 * 60 * 60
</f>
        <v>0</v>
      </c>
      <c r="J279" s="252" t="str">
        <f>'Оценка'!B282</f>
        <v/>
      </c>
      <c r="K279" s="253" t="str">
        <f t="shared" si="6"/>
        <v/>
      </c>
      <c r="L279" s="253" t="str">
        <f t="shared" si="7"/>
        <v/>
      </c>
    </row>
    <row r="280">
      <c r="A280" s="247" t="str">
        <f>'Оценка'!C283</f>
        <v/>
      </c>
      <c r="B280" s="247" t="str">
        <f>'Оценка'!D283</f>
        <v/>
      </c>
      <c r="C280" s="249" t="str">
        <f t="shared" si="1"/>
        <v/>
      </c>
      <c r="D280" s="249" t="str">
        <f t="shared" si="2"/>
        <v/>
      </c>
      <c r="E280" s="249" t="str">
        <f t="shared" si="3"/>
        <v/>
      </c>
      <c r="F280" s="158" t="str">
        <f t="shared" si="4"/>
        <v/>
      </c>
      <c r="G280" s="247" t="str">
        <f>IF(A280&lt;&gt;"", 'Sales (Итоги оценки)'!$C$4, "")</f>
        <v/>
      </c>
      <c r="H280" s="249" t="str">
        <f t="shared" si="5"/>
        <v/>
      </c>
      <c r="I280" s="251">
        <f>IF(OR(ISBLANK('Оценка'!F279), ISBLANK('Оценка'!G279)), "", 
(AVERAGE(
  (
    ('Оценка'!F279 + 4*AVERAGE('Оценка'!F279:G279) + 'Оценка'!G279)/6 - 
    2*(('Оценка'!G279 - 'Оценка'!F279)/6)
  )/5 , 
  (
    ('Оценка'!F279 + 4*AVERAGE('Оценка'!F279:G279) + 'Оценка'!G279)/6 + 
    2*(('Оценка'!G279 - 'Оценка'!F279)/6)
  )/5
) * 
(
  (
    ('PM (Расчеты)'!$C$22/8 + 'PM (Расчеты)'!$C$23/40) + 
    'PM (Расчеты)'!$C$21/100 + 'PM (Расчеты)'!$C$25/100 + 
    'PM (Расчеты)'!$C$26/100
  ) + 1
)))
 * 8 * 60 * 60
</f>
        <v>0</v>
      </c>
      <c r="J280" s="252" t="str">
        <f>'Оценка'!B283</f>
        <v/>
      </c>
      <c r="K280" s="253" t="str">
        <f t="shared" si="6"/>
        <v/>
      </c>
      <c r="L280" s="253" t="str">
        <f t="shared" si="7"/>
        <v/>
      </c>
    </row>
    <row r="281">
      <c r="A281" s="247" t="str">
        <f>'Оценка'!C284</f>
        <v/>
      </c>
      <c r="B281" s="247" t="str">
        <f>'Оценка'!D284</f>
        <v/>
      </c>
      <c r="C281" s="249" t="str">
        <f t="shared" si="1"/>
        <v/>
      </c>
      <c r="D281" s="249" t="str">
        <f t="shared" si="2"/>
        <v/>
      </c>
      <c r="E281" s="249" t="str">
        <f t="shared" si="3"/>
        <v/>
      </c>
      <c r="F281" s="158" t="str">
        <f t="shared" si="4"/>
        <v/>
      </c>
      <c r="G281" s="247" t="str">
        <f>IF(A281&lt;&gt;"", 'Sales (Итоги оценки)'!$C$4, "")</f>
        <v/>
      </c>
      <c r="H281" s="249" t="str">
        <f t="shared" si="5"/>
        <v/>
      </c>
      <c r="I281" s="251">
        <f>IF(OR(ISBLANK('Оценка'!F280), ISBLANK('Оценка'!G280)), "", 
(AVERAGE(
  (
    ('Оценка'!F280 + 4*AVERAGE('Оценка'!F280:G280) + 'Оценка'!G280)/6 - 
    2*(('Оценка'!G280 - 'Оценка'!F280)/6)
  )/5 , 
  (
    ('Оценка'!F280 + 4*AVERAGE('Оценка'!F280:G280) + 'Оценка'!G280)/6 + 
    2*(('Оценка'!G280 - 'Оценка'!F280)/6)
  )/5
) * 
(
  (
    ('PM (Расчеты)'!$C$22/8 + 'PM (Расчеты)'!$C$23/40) + 
    'PM (Расчеты)'!$C$21/100 + 'PM (Расчеты)'!$C$25/100 + 
    'PM (Расчеты)'!$C$26/100
  ) + 1
)))
 * 8 * 60 * 60
</f>
        <v>0</v>
      </c>
      <c r="J281" s="252" t="str">
        <f>'Оценка'!B284</f>
        <v/>
      </c>
      <c r="K281" s="253" t="str">
        <f t="shared" si="6"/>
        <v/>
      </c>
      <c r="L281" s="253" t="str">
        <f t="shared" si="7"/>
        <v/>
      </c>
    </row>
    <row r="282">
      <c r="A282" s="247" t="str">
        <f>'Оценка'!C285</f>
        <v/>
      </c>
      <c r="B282" s="247" t="str">
        <f>'Оценка'!D285</f>
        <v/>
      </c>
      <c r="C282" s="249" t="str">
        <f t="shared" si="1"/>
        <v/>
      </c>
      <c r="D282" s="249" t="str">
        <f t="shared" si="2"/>
        <v/>
      </c>
      <c r="E282" s="249" t="str">
        <f t="shared" si="3"/>
        <v/>
      </c>
      <c r="F282" s="158" t="str">
        <f t="shared" si="4"/>
        <v/>
      </c>
      <c r="G282" s="247" t="str">
        <f>IF(A282&lt;&gt;"", 'Sales (Итоги оценки)'!$C$4, "")</f>
        <v/>
      </c>
      <c r="H282" s="249" t="str">
        <f t="shared" si="5"/>
        <v/>
      </c>
      <c r="I282" s="251">
        <f>IF(OR(ISBLANK('Оценка'!F281), ISBLANK('Оценка'!G281)), "", 
(AVERAGE(
  (
    ('Оценка'!F281 + 4*AVERAGE('Оценка'!F281:G281) + 'Оценка'!G281)/6 - 
    2*(('Оценка'!G281 - 'Оценка'!F281)/6)
  )/5 , 
  (
    ('Оценка'!F281 + 4*AVERAGE('Оценка'!F281:G281) + 'Оценка'!G281)/6 + 
    2*(('Оценка'!G281 - 'Оценка'!F281)/6)
  )/5
) * 
(
  (
    ('PM (Расчеты)'!$C$22/8 + 'PM (Расчеты)'!$C$23/40) + 
    'PM (Расчеты)'!$C$21/100 + 'PM (Расчеты)'!$C$25/100 + 
    'PM (Расчеты)'!$C$26/100
  ) + 1
)))
 * 8 * 60 * 60
</f>
        <v>0</v>
      </c>
      <c r="J282" s="252" t="str">
        <f>'Оценка'!B285</f>
        <v/>
      </c>
      <c r="K282" s="253" t="str">
        <f t="shared" si="6"/>
        <v/>
      </c>
      <c r="L282" s="253" t="str">
        <f t="shared" si="7"/>
        <v/>
      </c>
    </row>
    <row r="283">
      <c r="A283" s="247" t="str">
        <f>'Оценка'!C286</f>
        <v/>
      </c>
      <c r="B283" s="247" t="str">
        <f>'Оценка'!D286</f>
        <v/>
      </c>
      <c r="C283" s="249" t="str">
        <f t="shared" si="1"/>
        <v/>
      </c>
      <c r="D283" s="249" t="str">
        <f t="shared" si="2"/>
        <v/>
      </c>
      <c r="E283" s="249" t="str">
        <f t="shared" si="3"/>
        <v/>
      </c>
      <c r="F283" s="158" t="str">
        <f t="shared" si="4"/>
        <v/>
      </c>
      <c r="G283" s="247" t="str">
        <f>IF(A283&lt;&gt;"", 'Sales (Итоги оценки)'!$C$4, "")</f>
        <v/>
      </c>
      <c r="H283" s="249" t="str">
        <f t="shared" si="5"/>
        <v/>
      </c>
      <c r="I283" s="251">
        <f>IF(OR(ISBLANK('Оценка'!F282), ISBLANK('Оценка'!G282)), "", 
(AVERAGE(
  (
    ('Оценка'!F282 + 4*AVERAGE('Оценка'!F282:G282) + 'Оценка'!G282)/6 - 
    2*(('Оценка'!G282 - 'Оценка'!F282)/6)
  )/5 , 
  (
    ('Оценка'!F282 + 4*AVERAGE('Оценка'!F282:G282) + 'Оценка'!G282)/6 + 
    2*(('Оценка'!G282 - 'Оценка'!F282)/6)
  )/5
) * 
(
  (
    ('PM (Расчеты)'!$C$22/8 + 'PM (Расчеты)'!$C$23/40) + 
    'PM (Расчеты)'!$C$21/100 + 'PM (Расчеты)'!$C$25/100 + 
    'PM (Расчеты)'!$C$26/100
  ) + 1
)))
 * 8 * 60 * 60
</f>
        <v>0</v>
      </c>
      <c r="J283" s="252" t="str">
        <f>'Оценка'!B286</f>
        <v/>
      </c>
      <c r="K283" s="253" t="str">
        <f t="shared" si="6"/>
        <v/>
      </c>
      <c r="L283" s="253" t="str">
        <f t="shared" si="7"/>
        <v/>
      </c>
    </row>
    <row r="284">
      <c r="A284" s="247" t="str">
        <f>'Оценка'!C287</f>
        <v/>
      </c>
      <c r="B284" s="247" t="str">
        <f>'Оценка'!D287</f>
        <v/>
      </c>
      <c r="C284" s="249" t="str">
        <f t="shared" si="1"/>
        <v/>
      </c>
      <c r="D284" s="249" t="str">
        <f t="shared" si="2"/>
        <v/>
      </c>
      <c r="E284" s="249" t="str">
        <f t="shared" si="3"/>
        <v/>
      </c>
      <c r="F284" s="158" t="str">
        <f t="shared" si="4"/>
        <v/>
      </c>
      <c r="G284" s="247" t="str">
        <f>IF(A284&lt;&gt;"", 'Sales (Итоги оценки)'!$C$4, "")</f>
        <v/>
      </c>
      <c r="H284" s="249" t="str">
        <f t="shared" si="5"/>
        <v/>
      </c>
      <c r="I284" s="251">
        <f>IF(OR(ISBLANK('Оценка'!F283), ISBLANK('Оценка'!G283)), "", 
(AVERAGE(
  (
    ('Оценка'!F283 + 4*AVERAGE('Оценка'!F283:G283) + 'Оценка'!G283)/6 - 
    2*(('Оценка'!G283 - 'Оценка'!F283)/6)
  )/5 , 
  (
    ('Оценка'!F283 + 4*AVERAGE('Оценка'!F283:G283) + 'Оценка'!G283)/6 + 
    2*(('Оценка'!G283 - 'Оценка'!F283)/6)
  )/5
) * 
(
  (
    ('PM (Расчеты)'!$C$22/8 + 'PM (Расчеты)'!$C$23/40) + 
    'PM (Расчеты)'!$C$21/100 + 'PM (Расчеты)'!$C$25/100 + 
    'PM (Расчеты)'!$C$26/100
  ) + 1
)))
 * 8 * 60 * 60
</f>
        <v>0</v>
      </c>
      <c r="J284" s="252" t="str">
        <f>'Оценка'!B287</f>
        <v/>
      </c>
      <c r="K284" s="253" t="str">
        <f t="shared" si="6"/>
        <v/>
      </c>
      <c r="L284" s="253" t="str">
        <f t="shared" si="7"/>
        <v/>
      </c>
    </row>
    <row r="285">
      <c r="A285" s="247" t="str">
        <f>'Оценка'!C288</f>
        <v/>
      </c>
      <c r="B285" s="247" t="str">
        <f>'Оценка'!D288</f>
        <v/>
      </c>
      <c r="C285" s="249" t="str">
        <f t="shared" si="1"/>
        <v/>
      </c>
      <c r="D285" s="249" t="str">
        <f t="shared" si="2"/>
        <v/>
      </c>
      <c r="E285" s="249" t="str">
        <f t="shared" si="3"/>
        <v/>
      </c>
      <c r="F285" s="158" t="str">
        <f t="shared" si="4"/>
        <v/>
      </c>
      <c r="G285" s="247" t="str">
        <f>IF(A285&lt;&gt;"", 'Sales (Итоги оценки)'!$C$4, "")</f>
        <v/>
      </c>
      <c r="H285" s="249" t="str">
        <f t="shared" si="5"/>
        <v/>
      </c>
      <c r="I285" s="251">
        <f>IF(OR(ISBLANK('Оценка'!F284), ISBLANK('Оценка'!G284)), "", 
(AVERAGE(
  (
    ('Оценка'!F284 + 4*AVERAGE('Оценка'!F284:G284) + 'Оценка'!G284)/6 - 
    2*(('Оценка'!G284 - 'Оценка'!F284)/6)
  )/5 , 
  (
    ('Оценка'!F284 + 4*AVERAGE('Оценка'!F284:G284) + 'Оценка'!G284)/6 + 
    2*(('Оценка'!G284 - 'Оценка'!F284)/6)
  )/5
) * 
(
  (
    ('PM (Расчеты)'!$C$22/8 + 'PM (Расчеты)'!$C$23/40) + 
    'PM (Расчеты)'!$C$21/100 + 'PM (Расчеты)'!$C$25/100 + 
    'PM (Расчеты)'!$C$26/100
  ) + 1
)))
 * 8 * 60 * 60
</f>
        <v>0</v>
      </c>
      <c r="J285" s="252" t="str">
        <f>'Оценка'!B288</f>
        <v/>
      </c>
      <c r="K285" s="253" t="str">
        <f t="shared" si="6"/>
        <v/>
      </c>
      <c r="L285" s="253" t="str">
        <f t="shared" si="7"/>
        <v/>
      </c>
    </row>
    <row r="286">
      <c r="A286" s="247" t="str">
        <f>'Оценка'!C289</f>
        <v/>
      </c>
      <c r="B286" s="247" t="str">
        <f>'Оценка'!D289</f>
        <v/>
      </c>
      <c r="C286" s="249" t="str">
        <f t="shared" si="1"/>
        <v/>
      </c>
      <c r="D286" s="249" t="str">
        <f t="shared" si="2"/>
        <v/>
      </c>
      <c r="E286" s="249" t="str">
        <f t="shared" si="3"/>
        <v/>
      </c>
      <c r="F286" s="158" t="str">
        <f t="shared" si="4"/>
        <v/>
      </c>
      <c r="G286" s="247" t="str">
        <f>IF(A286&lt;&gt;"", 'Sales (Итоги оценки)'!$C$4, "")</f>
        <v/>
      </c>
      <c r="H286" s="249" t="str">
        <f t="shared" si="5"/>
        <v/>
      </c>
      <c r="I286" s="251">
        <f>IF(OR(ISBLANK('Оценка'!F285), ISBLANK('Оценка'!G285)), "", 
(AVERAGE(
  (
    ('Оценка'!F285 + 4*AVERAGE('Оценка'!F285:G285) + 'Оценка'!G285)/6 - 
    2*(('Оценка'!G285 - 'Оценка'!F285)/6)
  )/5 , 
  (
    ('Оценка'!F285 + 4*AVERAGE('Оценка'!F285:G285) + 'Оценка'!G285)/6 + 
    2*(('Оценка'!G285 - 'Оценка'!F285)/6)
  )/5
) * 
(
  (
    ('PM (Расчеты)'!$C$22/8 + 'PM (Расчеты)'!$C$23/40) + 
    'PM (Расчеты)'!$C$21/100 + 'PM (Расчеты)'!$C$25/100 + 
    'PM (Расчеты)'!$C$26/100
  ) + 1
)))
 * 8 * 60 * 60
</f>
        <v>0</v>
      </c>
      <c r="J286" s="252" t="str">
        <f>'Оценка'!B289</f>
        <v/>
      </c>
      <c r="K286" s="253" t="str">
        <f t="shared" si="6"/>
        <v/>
      </c>
      <c r="L286" s="253" t="str">
        <f t="shared" si="7"/>
        <v/>
      </c>
    </row>
    <row r="287">
      <c r="A287" s="247" t="str">
        <f>'Оценка'!C290</f>
        <v/>
      </c>
      <c r="B287" s="247" t="str">
        <f>'Оценка'!D290</f>
        <v/>
      </c>
      <c r="C287" s="249" t="str">
        <f t="shared" si="1"/>
        <v/>
      </c>
      <c r="D287" s="249" t="str">
        <f t="shared" si="2"/>
        <v/>
      </c>
      <c r="E287" s="249" t="str">
        <f t="shared" si="3"/>
        <v/>
      </c>
      <c r="F287" s="158" t="str">
        <f t="shared" si="4"/>
        <v/>
      </c>
      <c r="G287" s="247" t="str">
        <f>IF(A287&lt;&gt;"", 'Sales (Итоги оценки)'!$C$4, "")</f>
        <v/>
      </c>
      <c r="H287" s="249" t="str">
        <f t="shared" si="5"/>
        <v/>
      </c>
      <c r="I287" s="251">
        <f>IF(OR(ISBLANK('Оценка'!F286), ISBLANK('Оценка'!G286)), "", 
(AVERAGE(
  (
    ('Оценка'!F286 + 4*AVERAGE('Оценка'!F286:G286) + 'Оценка'!G286)/6 - 
    2*(('Оценка'!G286 - 'Оценка'!F286)/6)
  )/5 , 
  (
    ('Оценка'!F286 + 4*AVERAGE('Оценка'!F286:G286) + 'Оценка'!G286)/6 + 
    2*(('Оценка'!G286 - 'Оценка'!F286)/6)
  )/5
) * 
(
  (
    ('PM (Расчеты)'!$C$22/8 + 'PM (Расчеты)'!$C$23/40) + 
    'PM (Расчеты)'!$C$21/100 + 'PM (Расчеты)'!$C$25/100 + 
    'PM (Расчеты)'!$C$26/100
  ) + 1
)))
 * 8 * 60 * 60
</f>
        <v>0</v>
      </c>
      <c r="J287" s="252" t="str">
        <f>'Оценка'!B290</f>
        <v/>
      </c>
      <c r="K287" s="253" t="str">
        <f t="shared" si="6"/>
        <v/>
      </c>
      <c r="L287" s="253" t="str">
        <f t="shared" si="7"/>
        <v/>
      </c>
    </row>
    <row r="288">
      <c r="A288" s="247" t="str">
        <f>'Оценка'!C291</f>
        <v/>
      </c>
      <c r="B288" s="247" t="str">
        <f>'Оценка'!D291</f>
        <v/>
      </c>
      <c r="C288" s="249" t="str">
        <f t="shared" si="1"/>
        <v/>
      </c>
      <c r="D288" s="249" t="str">
        <f t="shared" si="2"/>
        <v/>
      </c>
      <c r="E288" s="249" t="str">
        <f t="shared" si="3"/>
        <v/>
      </c>
      <c r="F288" s="158" t="str">
        <f t="shared" si="4"/>
        <v/>
      </c>
      <c r="G288" s="247" t="str">
        <f>IF(A288&lt;&gt;"", 'Sales (Итоги оценки)'!$C$4, "")</f>
        <v/>
      </c>
      <c r="H288" s="249" t="str">
        <f t="shared" si="5"/>
        <v/>
      </c>
      <c r="I288" s="251">
        <f>IF(OR(ISBLANK('Оценка'!F287), ISBLANK('Оценка'!G287)), "", 
(AVERAGE(
  (
    ('Оценка'!F287 + 4*AVERAGE('Оценка'!F287:G287) + 'Оценка'!G287)/6 - 
    2*(('Оценка'!G287 - 'Оценка'!F287)/6)
  )/5 , 
  (
    ('Оценка'!F287 + 4*AVERAGE('Оценка'!F287:G287) + 'Оценка'!G287)/6 + 
    2*(('Оценка'!G287 - 'Оценка'!F287)/6)
  )/5
) * 
(
  (
    ('PM (Расчеты)'!$C$22/8 + 'PM (Расчеты)'!$C$23/40) + 
    'PM (Расчеты)'!$C$21/100 + 'PM (Расчеты)'!$C$25/100 + 
    'PM (Расчеты)'!$C$26/100
  ) + 1
)))
 * 8 * 60 * 60
</f>
        <v>0</v>
      </c>
      <c r="J288" s="252" t="str">
        <f>'Оценка'!B291</f>
        <v/>
      </c>
      <c r="K288" s="253" t="str">
        <f t="shared" si="6"/>
        <v/>
      </c>
      <c r="L288" s="253" t="str">
        <f t="shared" si="7"/>
        <v/>
      </c>
    </row>
    <row r="289">
      <c r="A289" s="247" t="str">
        <f>'Оценка'!C292</f>
        <v/>
      </c>
      <c r="B289" s="247" t="str">
        <f>'Оценка'!D292</f>
        <v/>
      </c>
      <c r="C289" s="249" t="str">
        <f t="shared" si="1"/>
        <v/>
      </c>
      <c r="D289" s="249" t="str">
        <f t="shared" si="2"/>
        <v/>
      </c>
      <c r="E289" s="249" t="str">
        <f t="shared" si="3"/>
        <v/>
      </c>
      <c r="F289" s="158" t="str">
        <f t="shared" si="4"/>
        <v/>
      </c>
      <c r="G289" s="247" t="str">
        <f>IF(A289&lt;&gt;"", 'Sales (Итоги оценки)'!$C$4, "")</f>
        <v/>
      </c>
      <c r="H289" s="249" t="str">
        <f t="shared" si="5"/>
        <v/>
      </c>
      <c r="I289" s="251">
        <f>IF(OR(ISBLANK('Оценка'!F288), ISBLANK('Оценка'!G288)), "", 
(AVERAGE(
  (
    ('Оценка'!F288 + 4*AVERAGE('Оценка'!F288:G288) + 'Оценка'!G288)/6 - 
    2*(('Оценка'!G288 - 'Оценка'!F288)/6)
  )/5 , 
  (
    ('Оценка'!F288 + 4*AVERAGE('Оценка'!F288:G288) + 'Оценка'!G288)/6 + 
    2*(('Оценка'!G288 - 'Оценка'!F288)/6)
  )/5
) * 
(
  (
    ('PM (Расчеты)'!$C$22/8 + 'PM (Расчеты)'!$C$23/40) + 
    'PM (Расчеты)'!$C$21/100 + 'PM (Расчеты)'!$C$25/100 + 
    'PM (Расчеты)'!$C$26/100
  ) + 1
)))
 * 8 * 60 * 60
</f>
        <v>0</v>
      </c>
      <c r="J289" s="252" t="str">
        <f>'Оценка'!B292</f>
        <v/>
      </c>
      <c r="K289" s="253" t="str">
        <f t="shared" si="6"/>
        <v/>
      </c>
      <c r="L289" s="253" t="str">
        <f t="shared" si="7"/>
        <v/>
      </c>
    </row>
    <row r="290">
      <c r="A290" s="247" t="str">
        <f>'Оценка'!C293</f>
        <v/>
      </c>
      <c r="B290" s="247" t="str">
        <f>'Оценка'!D293</f>
        <v/>
      </c>
      <c r="C290" s="249" t="str">
        <f t="shared" si="1"/>
        <v/>
      </c>
      <c r="D290" s="249" t="str">
        <f t="shared" si="2"/>
        <v/>
      </c>
      <c r="E290" s="249" t="str">
        <f t="shared" si="3"/>
        <v/>
      </c>
      <c r="F290" s="158" t="str">
        <f t="shared" si="4"/>
        <v/>
      </c>
      <c r="G290" s="247" t="str">
        <f>IF(A290&lt;&gt;"", 'Sales (Итоги оценки)'!$C$4, "")</f>
        <v/>
      </c>
      <c r="H290" s="249" t="str">
        <f t="shared" si="5"/>
        <v/>
      </c>
      <c r="I290" s="251">
        <f>IF(OR(ISBLANK('Оценка'!F289), ISBLANK('Оценка'!G289)), "", 
(AVERAGE(
  (
    ('Оценка'!F289 + 4*AVERAGE('Оценка'!F289:G289) + 'Оценка'!G289)/6 - 
    2*(('Оценка'!G289 - 'Оценка'!F289)/6)
  )/5 , 
  (
    ('Оценка'!F289 + 4*AVERAGE('Оценка'!F289:G289) + 'Оценка'!G289)/6 + 
    2*(('Оценка'!G289 - 'Оценка'!F289)/6)
  )/5
) * 
(
  (
    ('PM (Расчеты)'!$C$22/8 + 'PM (Расчеты)'!$C$23/40) + 
    'PM (Расчеты)'!$C$21/100 + 'PM (Расчеты)'!$C$25/100 + 
    'PM (Расчеты)'!$C$26/100
  ) + 1
)))
 * 8 * 60 * 60
</f>
        <v>0</v>
      </c>
      <c r="J290" s="252" t="str">
        <f>'Оценка'!B293</f>
        <v/>
      </c>
      <c r="K290" s="253" t="str">
        <f t="shared" si="6"/>
        <v/>
      </c>
      <c r="L290" s="253" t="str">
        <f t="shared" si="7"/>
        <v/>
      </c>
    </row>
    <row r="291">
      <c r="A291" s="247" t="str">
        <f>'Оценка'!C294</f>
        <v/>
      </c>
      <c r="B291" s="247" t="str">
        <f>'Оценка'!D294</f>
        <v/>
      </c>
      <c r="C291" s="249" t="str">
        <f t="shared" si="1"/>
        <v/>
      </c>
      <c r="D291" s="249" t="str">
        <f t="shared" si="2"/>
        <v/>
      </c>
      <c r="E291" s="249" t="str">
        <f t="shared" si="3"/>
        <v/>
      </c>
      <c r="F291" s="158" t="str">
        <f t="shared" si="4"/>
        <v/>
      </c>
      <c r="G291" s="247" t="str">
        <f>IF(A291&lt;&gt;"", 'Sales (Итоги оценки)'!$C$4, "")</f>
        <v/>
      </c>
      <c r="H291" s="249" t="str">
        <f t="shared" si="5"/>
        <v/>
      </c>
      <c r="I291" s="251">
        <f>IF(OR(ISBLANK('Оценка'!F290), ISBLANK('Оценка'!G290)), "", 
(AVERAGE(
  (
    ('Оценка'!F290 + 4*AVERAGE('Оценка'!F290:G290) + 'Оценка'!G290)/6 - 
    2*(('Оценка'!G290 - 'Оценка'!F290)/6)
  )/5 , 
  (
    ('Оценка'!F290 + 4*AVERAGE('Оценка'!F290:G290) + 'Оценка'!G290)/6 + 
    2*(('Оценка'!G290 - 'Оценка'!F290)/6)
  )/5
) * 
(
  (
    ('PM (Расчеты)'!$C$22/8 + 'PM (Расчеты)'!$C$23/40) + 
    'PM (Расчеты)'!$C$21/100 + 'PM (Расчеты)'!$C$25/100 + 
    'PM (Расчеты)'!$C$26/100
  ) + 1
)))
 * 8 * 60 * 60
</f>
        <v>0</v>
      </c>
      <c r="J291" s="252" t="str">
        <f>'Оценка'!B294</f>
        <v/>
      </c>
      <c r="K291" s="253" t="str">
        <f t="shared" si="6"/>
        <v/>
      </c>
      <c r="L291" s="253" t="str">
        <f t="shared" si="7"/>
        <v/>
      </c>
    </row>
    <row r="292">
      <c r="A292" s="247" t="str">
        <f>'Оценка'!C295</f>
        <v/>
      </c>
      <c r="B292" s="247" t="str">
        <f>'Оценка'!D295</f>
        <v/>
      </c>
      <c r="C292" s="249" t="str">
        <f t="shared" si="1"/>
        <v/>
      </c>
      <c r="D292" s="249" t="str">
        <f t="shared" si="2"/>
        <v/>
      </c>
      <c r="E292" s="249" t="str">
        <f t="shared" si="3"/>
        <v/>
      </c>
      <c r="F292" s="158" t="str">
        <f t="shared" si="4"/>
        <v/>
      </c>
      <c r="G292" s="247" t="str">
        <f>IF(A292&lt;&gt;"", 'Sales (Итоги оценки)'!$C$4, "")</f>
        <v/>
      </c>
      <c r="H292" s="249" t="str">
        <f t="shared" si="5"/>
        <v/>
      </c>
      <c r="I292" s="251">
        <f>IF(OR(ISBLANK('Оценка'!F291), ISBLANK('Оценка'!G291)), "", 
(AVERAGE(
  (
    ('Оценка'!F291 + 4*AVERAGE('Оценка'!F291:G291) + 'Оценка'!G291)/6 - 
    2*(('Оценка'!G291 - 'Оценка'!F291)/6)
  )/5 , 
  (
    ('Оценка'!F291 + 4*AVERAGE('Оценка'!F291:G291) + 'Оценка'!G291)/6 + 
    2*(('Оценка'!G291 - 'Оценка'!F291)/6)
  )/5
) * 
(
  (
    ('PM (Расчеты)'!$C$22/8 + 'PM (Расчеты)'!$C$23/40) + 
    'PM (Расчеты)'!$C$21/100 + 'PM (Расчеты)'!$C$25/100 + 
    'PM (Расчеты)'!$C$26/100
  ) + 1
)))
 * 8 * 60 * 60
</f>
        <v>0</v>
      </c>
      <c r="J292" s="252" t="str">
        <f>'Оценка'!B295</f>
        <v/>
      </c>
      <c r="K292" s="253" t="str">
        <f t="shared" si="6"/>
        <v/>
      </c>
      <c r="L292" s="253" t="str">
        <f t="shared" si="7"/>
        <v/>
      </c>
    </row>
    <row r="293">
      <c r="A293" s="247" t="str">
        <f>'Оценка'!C296</f>
        <v/>
      </c>
      <c r="B293" s="247" t="str">
        <f>'Оценка'!D296</f>
        <v/>
      </c>
      <c r="C293" s="249" t="str">
        <f t="shared" si="1"/>
        <v/>
      </c>
      <c r="D293" s="249" t="str">
        <f t="shared" si="2"/>
        <v/>
      </c>
      <c r="E293" s="249" t="str">
        <f t="shared" si="3"/>
        <v/>
      </c>
      <c r="F293" s="158" t="str">
        <f t="shared" si="4"/>
        <v/>
      </c>
      <c r="G293" s="247" t="str">
        <f>IF(A293&lt;&gt;"", 'Sales (Итоги оценки)'!$C$4, "")</f>
        <v/>
      </c>
      <c r="H293" s="249" t="str">
        <f t="shared" si="5"/>
        <v/>
      </c>
      <c r="I293" s="251">
        <f>IF(OR(ISBLANK('Оценка'!F292), ISBLANK('Оценка'!G292)), "", 
(AVERAGE(
  (
    ('Оценка'!F292 + 4*AVERAGE('Оценка'!F292:G292) + 'Оценка'!G292)/6 - 
    2*(('Оценка'!G292 - 'Оценка'!F292)/6)
  )/5 , 
  (
    ('Оценка'!F292 + 4*AVERAGE('Оценка'!F292:G292) + 'Оценка'!G292)/6 + 
    2*(('Оценка'!G292 - 'Оценка'!F292)/6)
  )/5
) * 
(
  (
    ('PM (Расчеты)'!$C$22/8 + 'PM (Расчеты)'!$C$23/40) + 
    'PM (Расчеты)'!$C$21/100 + 'PM (Расчеты)'!$C$25/100 + 
    'PM (Расчеты)'!$C$26/100
  ) + 1
)))
 * 8 * 60 * 60
</f>
        <v>0</v>
      </c>
      <c r="J293" s="252" t="str">
        <f>'Оценка'!B296</f>
        <v/>
      </c>
      <c r="K293" s="253" t="str">
        <f t="shared" si="6"/>
        <v/>
      </c>
      <c r="L293" s="253" t="str">
        <f t="shared" si="7"/>
        <v/>
      </c>
    </row>
    <row r="294">
      <c r="A294" s="247" t="str">
        <f>'Оценка'!C297</f>
        <v/>
      </c>
      <c r="B294" s="247" t="str">
        <f>'Оценка'!D297</f>
        <v/>
      </c>
      <c r="C294" s="249" t="str">
        <f t="shared" si="1"/>
        <v/>
      </c>
      <c r="D294" s="249" t="str">
        <f t="shared" si="2"/>
        <v/>
      </c>
      <c r="E294" s="249" t="str">
        <f t="shared" si="3"/>
        <v/>
      </c>
      <c r="F294" s="158" t="str">
        <f t="shared" si="4"/>
        <v/>
      </c>
      <c r="G294" s="247" t="str">
        <f>IF(A294&lt;&gt;"", 'Sales (Итоги оценки)'!$C$4, "")</f>
        <v/>
      </c>
      <c r="H294" s="249" t="str">
        <f t="shared" si="5"/>
        <v/>
      </c>
      <c r="I294" s="251">
        <f>IF(OR(ISBLANK('Оценка'!F293), ISBLANK('Оценка'!G293)), "", 
(AVERAGE(
  (
    ('Оценка'!F293 + 4*AVERAGE('Оценка'!F293:G293) + 'Оценка'!G293)/6 - 
    2*(('Оценка'!G293 - 'Оценка'!F293)/6)
  )/5 , 
  (
    ('Оценка'!F293 + 4*AVERAGE('Оценка'!F293:G293) + 'Оценка'!G293)/6 + 
    2*(('Оценка'!G293 - 'Оценка'!F293)/6)
  )/5
) * 
(
  (
    ('PM (Расчеты)'!$C$22/8 + 'PM (Расчеты)'!$C$23/40) + 
    'PM (Расчеты)'!$C$21/100 + 'PM (Расчеты)'!$C$25/100 + 
    'PM (Расчеты)'!$C$26/100
  ) + 1
)))
 * 8 * 60 * 60
</f>
        <v>0</v>
      </c>
      <c r="J294" s="252" t="str">
        <f>'Оценка'!B297</f>
        <v/>
      </c>
      <c r="K294" s="253" t="str">
        <f t="shared" si="6"/>
        <v/>
      </c>
      <c r="L294" s="253" t="str">
        <f t="shared" si="7"/>
        <v/>
      </c>
    </row>
    <row r="295">
      <c r="A295" s="247" t="str">
        <f>'Оценка'!C298</f>
        <v/>
      </c>
      <c r="B295" s="247" t="str">
        <f>'Оценка'!D298</f>
        <v/>
      </c>
      <c r="C295" s="249" t="str">
        <f t="shared" si="1"/>
        <v/>
      </c>
      <c r="D295" s="249" t="str">
        <f t="shared" si="2"/>
        <v/>
      </c>
      <c r="E295" s="249" t="str">
        <f t="shared" si="3"/>
        <v/>
      </c>
      <c r="F295" s="158" t="str">
        <f t="shared" si="4"/>
        <v/>
      </c>
      <c r="G295" s="247" t="str">
        <f>IF(A295&lt;&gt;"", 'Sales (Итоги оценки)'!$C$4, "")</f>
        <v/>
      </c>
      <c r="H295" s="249" t="str">
        <f t="shared" si="5"/>
        <v/>
      </c>
      <c r="I295" s="251">
        <f>IF(OR(ISBLANK('Оценка'!F294), ISBLANK('Оценка'!G294)), "", 
(AVERAGE(
  (
    ('Оценка'!F294 + 4*AVERAGE('Оценка'!F294:G294) + 'Оценка'!G294)/6 - 
    2*(('Оценка'!G294 - 'Оценка'!F294)/6)
  )/5 , 
  (
    ('Оценка'!F294 + 4*AVERAGE('Оценка'!F294:G294) + 'Оценка'!G294)/6 + 
    2*(('Оценка'!G294 - 'Оценка'!F294)/6)
  )/5
) * 
(
  (
    ('PM (Расчеты)'!$C$22/8 + 'PM (Расчеты)'!$C$23/40) + 
    'PM (Расчеты)'!$C$21/100 + 'PM (Расчеты)'!$C$25/100 + 
    'PM (Расчеты)'!$C$26/100
  ) + 1
)))
 * 8 * 60 * 60
</f>
        <v>0</v>
      </c>
      <c r="J295" s="252" t="str">
        <f>'Оценка'!B298</f>
        <v/>
      </c>
      <c r="K295" s="253" t="str">
        <f t="shared" si="6"/>
        <v/>
      </c>
      <c r="L295" s="253" t="str">
        <f t="shared" si="7"/>
        <v/>
      </c>
    </row>
    <row r="296">
      <c r="A296" s="247" t="str">
        <f>'Оценка'!C299</f>
        <v/>
      </c>
      <c r="B296" s="247" t="str">
        <f>'Оценка'!D299</f>
        <v/>
      </c>
      <c r="C296" s="249" t="str">
        <f t="shared" si="1"/>
        <v/>
      </c>
      <c r="D296" s="249" t="str">
        <f t="shared" si="2"/>
        <v/>
      </c>
      <c r="E296" s="249" t="str">
        <f t="shared" si="3"/>
        <v/>
      </c>
      <c r="F296" s="158" t="str">
        <f t="shared" si="4"/>
        <v/>
      </c>
      <c r="G296" s="247" t="str">
        <f>IF(A296&lt;&gt;"", 'Sales (Итоги оценки)'!$C$4, "")</f>
        <v/>
      </c>
      <c r="H296" s="249" t="str">
        <f t="shared" si="5"/>
        <v/>
      </c>
      <c r="I296" s="251">
        <f>IF(OR(ISBLANK('Оценка'!F295), ISBLANK('Оценка'!G295)), "", 
(AVERAGE(
  (
    ('Оценка'!F295 + 4*AVERAGE('Оценка'!F295:G295) + 'Оценка'!G295)/6 - 
    2*(('Оценка'!G295 - 'Оценка'!F295)/6)
  )/5 , 
  (
    ('Оценка'!F295 + 4*AVERAGE('Оценка'!F295:G295) + 'Оценка'!G295)/6 + 
    2*(('Оценка'!G295 - 'Оценка'!F295)/6)
  )/5
) * 
(
  (
    ('PM (Расчеты)'!$C$22/8 + 'PM (Расчеты)'!$C$23/40) + 
    'PM (Расчеты)'!$C$21/100 + 'PM (Расчеты)'!$C$25/100 + 
    'PM (Расчеты)'!$C$26/100
  ) + 1
)))
 * 8 * 60 * 60
</f>
        <v>0</v>
      </c>
      <c r="J296" s="252" t="str">
        <f>'Оценка'!B299</f>
        <v/>
      </c>
      <c r="K296" s="253" t="str">
        <f t="shared" si="6"/>
        <v/>
      </c>
      <c r="L296" s="253" t="str">
        <f t="shared" si="7"/>
        <v/>
      </c>
    </row>
    <row r="297">
      <c r="A297" s="247" t="str">
        <f>'Оценка'!C300</f>
        <v/>
      </c>
      <c r="B297" s="247" t="str">
        <f>'Оценка'!D300</f>
        <v/>
      </c>
      <c r="C297" s="249" t="str">
        <f t="shared" si="1"/>
        <v/>
      </c>
      <c r="D297" s="249" t="str">
        <f t="shared" si="2"/>
        <v/>
      </c>
      <c r="E297" s="249" t="str">
        <f t="shared" si="3"/>
        <v/>
      </c>
      <c r="F297" s="158" t="str">
        <f t="shared" si="4"/>
        <v/>
      </c>
      <c r="G297" s="247" t="str">
        <f>IF(A297&lt;&gt;"", 'Sales (Итоги оценки)'!$C$4, "")</f>
        <v/>
      </c>
      <c r="H297" s="249" t="str">
        <f t="shared" si="5"/>
        <v/>
      </c>
      <c r="I297" s="251">
        <f>IF(OR(ISBLANK('Оценка'!F296), ISBLANK('Оценка'!G296)), "", 
(AVERAGE(
  (
    ('Оценка'!F296 + 4*AVERAGE('Оценка'!F296:G296) + 'Оценка'!G296)/6 - 
    2*(('Оценка'!G296 - 'Оценка'!F296)/6)
  )/5 , 
  (
    ('Оценка'!F296 + 4*AVERAGE('Оценка'!F296:G296) + 'Оценка'!G296)/6 + 
    2*(('Оценка'!G296 - 'Оценка'!F296)/6)
  )/5
) * 
(
  (
    ('PM (Расчеты)'!$C$22/8 + 'PM (Расчеты)'!$C$23/40) + 
    'PM (Расчеты)'!$C$21/100 + 'PM (Расчеты)'!$C$25/100 + 
    'PM (Расчеты)'!$C$26/100
  ) + 1
)))
 * 8 * 60 * 60
</f>
        <v>0</v>
      </c>
      <c r="J297" s="252" t="str">
        <f>'Оценка'!B300</f>
        <v/>
      </c>
      <c r="K297" s="253" t="str">
        <f t="shared" si="6"/>
        <v/>
      </c>
      <c r="L297" s="253" t="str">
        <f t="shared" si="7"/>
        <v/>
      </c>
    </row>
    <row r="298">
      <c r="A298" s="247" t="str">
        <f>'Оценка'!C301</f>
        <v/>
      </c>
      <c r="B298" s="247" t="str">
        <f>'Оценка'!D301</f>
        <v/>
      </c>
      <c r="C298" s="249" t="str">
        <f t="shared" si="1"/>
        <v/>
      </c>
      <c r="D298" s="249" t="str">
        <f t="shared" si="2"/>
        <v/>
      </c>
      <c r="E298" s="249" t="str">
        <f t="shared" si="3"/>
        <v/>
      </c>
      <c r="F298" s="158" t="str">
        <f t="shared" si="4"/>
        <v/>
      </c>
      <c r="G298" s="247" t="str">
        <f>IF(A298&lt;&gt;"", 'Sales (Итоги оценки)'!$C$4, "")</f>
        <v/>
      </c>
      <c r="H298" s="249" t="str">
        <f t="shared" si="5"/>
        <v/>
      </c>
      <c r="I298" s="251">
        <f>IF(OR(ISBLANK('Оценка'!F297), ISBLANK('Оценка'!G297)), "", 
(AVERAGE(
  (
    ('Оценка'!F297 + 4*AVERAGE('Оценка'!F297:G297) + 'Оценка'!G297)/6 - 
    2*(('Оценка'!G297 - 'Оценка'!F297)/6)
  )/5 , 
  (
    ('Оценка'!F297 + 4*AVERAGE('Оценка'!F297:G297) + 'Оценка'!G297)/6 + 
    2*(('Оценка'!G297 - 'Оценка'!F297)/6)
  )/5
) * 
(
  (
    ('PM (Расчеты)'!$C$22/8 + 'PM (Расчеты)'!$C$23/40) + 
    'PM (Расчеты)'!$C$21/100 + 'PM (Расчеты)'!$C$25/100 + 
    'PM (Расчеты)'!$C$26/100
  ) + 1
)))
 * 8 * 60 * 60
</f>
        <v>0</v>
      </c>
      <c r="J298" s="252" t="str">
        <f>'Оценка'!B301</f>
        <v/>
      </c>
      <c r="K298" s="253" t="str">
        <f t="shared" si="6"/>
        <v/>
      </c>
      <c r="L298" s="253" t="str">
        <f t="shared" si="7"/>
        <v/>
      </c>
    </row>
    <row r="299">
      <c r="A299" s="247" t="str">
        <f>'Оценка'!C302</f>
        <v/>
      </c>
      <c r="B299" s="247" t="str">
        <f>'Оценка'!D302</f>
        <v/>
      </c>
      <c r="C299" s="249" t="str">
        <f t="shared" si="1"/>
        <v/>
      </c>
      <c r="D299" s="249" t="str">
        <f t="shared" si="2"/>
        <v/>
      </c>
      <c r="E299" s="249" t="str">
        <f t="shared" si="3"/>
        <v/>
      </c>
      <c r="F299" s="158" t="str">
        <f t="shared" si="4"/>
        <v/>
      </c>
      <c r="G299" s="247" t="str">
        <f>IF(A299&lt;&gt;"", 'Sales (Итоги оценки)'!$C$4, "")</f>
        <v/>
      </c>
      <c r="H299" s="249" t="str">
        <f t="shared" si="5"/>
        <v/>
      </c>
      <c r="I299" s="251">
        <f>IF(OR(ISBLANK('Оценка'!F298), ISBLANK('Оценка'!G298)), "", 
(AVERAGE(
  (
    ('Оценка'!F298 + 4*AVERAGE('Оценка'!F298:G298) + 'Оценка'!G298)/6 - 
    2*(('Оценка'!G298 - 'Оценка'!F298)/6)
  )/5 , 
  (
    ('Оценка'!F298 + 4*AVERAGE('Оценка'!F298:G298) + 'Оценка'!G298)/6 + 
    2*(('Оценка'!G298 - 'Оценка'!F298)/6)
  )/5
) * 
(
  (
    ('PM (Расчеты)'!$C$22/8 + 'PM (Расчеты)'!$C$23/40) + 
    'PM (Расчеты)'!$C$21/100 + 'PM (Расчеты)'!$C$25/100 + 
    'PM (Расчеты)'!$C$26/100
  ) + 1
)))
 * 8 * 60 * 60
</f>
        <v>0</v>
      </c>
      <c r="J299" s="252" t="str">
        <f>'Оценка'!B302</f>
        <v/>
      </c>
      <c r="K299" s="253" t="str">
        <f t="shared" si="6"/>
        <v/>
      </c>
      <c r="L299" s="253" t="str">
        <f t="shared" si="7"/>
        <v/>
      </c>
    </row>
    <row r="300">
      <c r="A300" s="247" t="str">
        <f>'Оценка'!C303</f>
        <v/>
      </c>
      <c r="B300" s="247" t="str">
        <f>'Оценка'!D303</f>
        <v/>
      </c>
      <c r="C300" s="249" t="str">
        <f t="shared" si="1"/>
        <v/>
      </c>
      <c r="D300" s="249" t="str">
        <f t="shared" si="2"/>
        <v/>
      </c>
      <c r="E300" s="249" t="str">
        <f t="shared" si="3"/>
        <v/>
      </c>
      <c r="F300" s="158" t="str">
        <f t="shared" si="4"/>
        <v/>
      </c>
      <c r="G300" s="247" t="str">
        <f>IF(A300&lt;&gt;"", 'Sales (Итоги оценки)'!$C$4, "")</f>
        <v/>
      </c>
      <c r="H300" s="249" t="str">
        <f t="shared" si="5"/>
        <v/>
      </c>
      <c r="I300" s="251">
        <f>IF(OR(ISBLANK('Оценка'!F299), ISBLANK('Оценка'!G299)), "", 
(AVERAGE(
  (
    ('Оценка'!F299 + 4*AVERAGE('Оценка'!F299:G299) + 'Оценка'!G299)/6 - 
    2*(('Оценка'!G299 - 'Оценка'!F299)/6)
  )/5 , 
  (
    ('Оценка'!F299 + 4*AVERAGE('Оценка'!F299:G299) + 'Оценка'!G299)/6 + 
    2*(('Оценка'!G299 - 'Оценка'!F299)/6)
  )/5
) * 
(
  (
    ('PM (Расчеты)'!$C$22/8 + 'PM (Расчеты)'!$C$23/40) + 
    'PM (Расчеты)'!$C$21/100 + 'PM (Расчеты)'!$C$25/100 + 
    'PM (Расчеты)'!$C$26/100
  ) + 1
)))
 * 8 * 60 * 60
</f>
        <v>0</v>
      </c>
      <c r="J300" s="252" t="str">
        <f>'Оценка'!B303</f>
        <v/>
      </c>
      <c r="K300" s="253" t="str">
        <f t="shared" si="6"/>
        <v/>
      </c>
      <c r="L300" s="253" t="str">
        <f t="shared" si="7"/>
        <v/>
      </c>
    </row>
    <row r="301">
      <c r="A301" s="247" t="str">
        <f>'Оценка'!C304</f>
        <v/>
      </c>
      <c r="B301" s="247" t="str">
        <f>'Оценка'!D304</f>
        <v/>
      </c>
      <c r="C301" s="249" t="str">
        <f t="shared" si="1"/>
        <v/>
      </c>
      <c r="D301" s="249" t="str">
        <f t="shared" si="2"/>
        <v/>
      </c>
      <c r="E301" s="249" t="str">
        <f t="shared" si="3"/>
        <v/>
      </c>
      <c r="F301" s="158" t="str">
        <f t="shared" si="4"/>
        <v/>
      </c>
      <c r="G301" s="247" t="str">
        <f>IF(A301&lt;&gt;"", 'Sales (Итоги оценки)'!$C$4, "")</f>
        <v/>
      </c>
      <c r="H301" s="249" t="str">
        <f t="shared" si="5"/>
        <v/>
      </c>
      <c r="I301" s="251">
        <f>IF(OR(ISBLANK('Оценка'!F300), ISBLANK('Оценка'!G300)), "", 
(AVERAGE(
  (
    ('Оценка'!F300 + 4*AVERAGE('Оценка'!F300:G300) + 'Оценка'!G300)/6 - 
    2*(('Оценка'!G300 - 'Оценка'!F300)/6)
  )/5 , 
  (
    ('Оценка'!F300 + 4*AVERAGE('Оценка'!F300:G300) + 'Оценка'!G300)/6 + 
    2*(('Оценка'!G300 - 'Оценка'!F300)/6)
  )/5
) * 
(
  (
    ('PM (Расчеты)'!$C$22/8 + 'PM (Расчеты)'!$C$23/40) + 
    'PM (Расчеты)'!$C$21/100 + 'PM (Расчеты)'!$C$25/100 + 
    'PM (Расчеты)'!$C$26/100
  ) + 1
)))
 * 8 * 60 * 60
</f>
        <v>0</v>
      </c>
      <c r="J301" s="252" t="str">
        <f>'Оценка'!B304</f>
        <v/>
      </c>
      <c r="K301" s="253" t="str">
        <f t="shared" si="6"/>
        <v/>
      </c>
      <c r="L301" s="253" t="str">
        <f t="shared" si="7"/>
        <v/>
      </c>
    </row>
    <row r="302">
      <c r="A302" s="247" t="str">
        <f>'Оценка'!C305</f>
        <v/>
      </c>
      <c r="B302" s="247" t="str">
        <f>'Оценка'!D305</f>
        <v/>
      </c>
      <c r="C302" s="249" t="str">
        <f t="shared" si="1"/>
        <v/>
      </c>
      <c r="D302" s="249" t="str">
        <f t="shared" si="2"/>
        <v/>
      </c>
      <c r="E302" s="249" t="str">
        <f t="shared" si="3"/>
        <v/>
      </c>
      <c r="F302" s="158" t="str">
        <f t="shared" si="4"/>
        <v/>
      </c>
      <c r="G302" s="247" t="str">
        <f>IF(A302&lt;&gt;"", 'Sales (Итоги оценки)'!$C$4, "")</f>
        <v/>
      </c>
      <c r="H302" s="249" t="str">
        <f t="shared" si="5"/>
        <v/>
      </c>
      <c r="I302" s="251">
        <f>IF(OR(ISBLANK('Оценка'!F301), ISBLANK('Оценка'!G301)), "", 
(AVERAGE(
  (
    ('Оценка'!F301 + 4*AVERAGE('Оценка'!F301:G301) + 'Оценка'!G301)/6 - 
    2*(('Оценка'!G301 - 'Оценка'!F301)/6)
  )/5 , 
  (
    ('Оценка'!F301 + 4*AVERAGE('Оценка'!F301:G301) + 'Оценка'!G301)/6 + 
    2*(('Оценка'!G301 - 'Оценка'!F301)/6)
  )/5
) * 
(
  (
    ('PM (Расчеты)'!$C$22/8 + 'PM (Расчеты)'!$C$23/40) + 
    'PM (Расчеты)'!$C$21/100 + 'PM (Расчеты)'!$C$25/100 + 
    'PM (Расчеты)'!$C$26/100
  ) + 1
)))
 * 8 * 60 * 60
</f>
        <v>0</v>
      </c>
      <c r="J302" s="252" t="str">
        <f>'Оценка'!B305</f>
        <v/>
      </c>
      <c r="K302" s="253" t="str">
        <f t="shared" si="6"/>
        <v/>
      </c>
      <c r="L302" s="253" t="str">
        <f t="shared" si="7"/>
        <v/>
      </c>
    </row>
    <row r="303">
      <c r="A303" s="247" t="str">
        <f>'Оценка'!C306</f>
        <v/>
      </c>
      <c r="B303" s="247" t="str">
        <f>'Оценка'!D306</f>
        <v/>
      </c>
      <c r="C303" s="249" t="str">
        <f t="shared" si="1"/>
        <v/>
      </c>
      <c r="D303" s="249" t="str">
        <f t="shared" si="2"/>
        <v/>
      </c>
      <c r="E303" s="249" t="str">
        <f t="shared" si="3"/>
        <v/>
      </c>
      <c r="F303" s="158" t="str">
        <f t="shared" si="4"/>
        <v/>
      </c>
      <c r="G303" s="247" t="str">
        <f>IF(A303&lt;&gt;"", 'Sales (Итоги оценки)'!$C$4, "")</f>
        <v/>
      </c>
      <c r="H303" s="249" t="str">
        <f t="shared" si="5"/>
        <v/>
      </c>
      <c r="I303" s="251">
        <f>IF(OR(ISBLANK('Оценка'!F302), ISBLANK('Оценка'!G302)), "", 
(AVERAGE(
  (
    ('Оценка'!F302 + 4*AVERAGE('Оценка'!F302:G302) + 'Оценка'!G302)/6 - 
    2*(('Оценка'!G302 - 'Оценка'!F302)/6)
  )/5 , 
  (
    ('Оценка'!F302 + 4*AVERAGE('Оценка'!F302:G302) + 'Оценка'!G302)/6 + 
    2*(('Оценка'!G302 - 'Оценка'!F302)/6)
  )/5
) * 
(
  (
    ('PM (Расчеты)'!$C$22/8 + 'PM (Расчеты)'!$C$23/40) + 
    'PM (Расчеты)'!$C$21/100 + 'PM (Расчеты)'!$C$25/100 + 
    'PM (Расчеты)'!$C$26/100
  ) + 1
)))
 * 8 * 60 * 60
</f>
        <v>0</v>
      </c>
      <c r="J303" s="252" t="str">
        <f>'Оценка'!B306</f>
        <v/>
      </c>
      <c r="K303" s="253" t="str">
        <f t="shared" si="6"/>
        <v/>
      </c>
      <c r="L303" s="253" t="str">
        <f t="shared" si="7"/>
        <v/>
      </c>
    </row>
    <row r="304">
      <c r="A304" s="247" t="str">
        <f>'Оценка'!C307</f>
        <v/>
      </c>
      <c r="B304" s="247" t="str">
        <f>'Оценка'!D307</f>
        <v/>
      </c>
      <c r="C304" s="249" t="str">
        <f t="shared" si="1"/>
        <v/>
      </c>
      <c r="D304" s="249" t="str">
        <f t="shared" si="2"/>
        <v/>
      </c>
      <c r="E304" s="249" t="str">
        <f t="shared" si="3"/>
        <v/>
      </c>
      <c r="F304" s="158" t="str">
        <f t="shared" si="4"/>
        <v/>
      </c>
      <c r="G304" s="247" t="str">
        <f>IF(A304&lt;&gt;"", 'Sales (Итоги оценки)'!$C$4, "")</f>
        <v/>
      </c>
      <c r="H304" s="249" t="str">
        <f t="shared" si="5"/>
        <v/>
      </c>
      <c r="I304" s="251">
        <f>IF(OR(ISBLANK('Оценка'!F303), ISBLANK('Оценка'!G303)), "", 
(AVERAGE(
  (
    ('Оценка'!F303 + 4*AVERAGE('Оценка'!F303:G303) + 'Оценка'!G303)/6 - 
    2*(('Оценка'!G303 - 'Оценка'!F303)/6)
  )/5 , 
  (
    ('Оценка'!F303 + 4*AVERAGE('Оценка'!F303:G303) + 'Оценка'!G303)/6 + 
    2*(('Оценка'!G303 - 'Оценка'!F303)/6)
  )/5
) * 
(
  (
    ('PM (Расчеты)'!$C$22/8 + 'PM (Расчеты)'!$C$23/40) + 
    'PM (Расчеты)'!$C$21/100 + 'PM (Расчеты)'!$C$25/100 + 
    'PM (Расчеты)'!$C$26/100
  ) + 1
)))
 * 8 * 60 * 60
</f>
        <v>0</v>
      </c>
      <c r="J304" s="252" t="str">
        <f>'Оценка'!B307</f>
        <v/>
      </c>
      <c r="K304" s="253" t="str">
        <f t="shared" si="6"/>
        <v/>
      </c>
      <c r="L304" s="253" t="str">
        <f t="shared" si="7"/>
        <v/>
      </c>
    </row>
    <row r="305">
      <c r="A305" s="247" t="str">
        <f>'Оценка'!C308</f>
        <v/>
      </c>
      <c r="B305" s="247" t="str">
        <f>'Оценка'!D308</f>
        <v/>
      </c>
      <c r="C305" s="249" t="str">
        <f t="shared" si="1"/>
        <v/>
      </c>
      <c r="D305" s="249" t="str">
        <f t="shared" si="2"/>
        <v/>
      </c>
      <c r="E305" s="249" t="str">
        <f t="shared" si="3"/>
        <v/>
      </c>
      <c r="F305" s="158" t="str">
        <f t="shared" si="4"/>
        <v/>
      </c>
      <c r="G305" s="247" t="str">
        <f>IF(A305&lt;&gt;"", 'Sales (Итоги оценки)'!$C$4, "")</f>
        <v/>
      </c>
      <c r="H305" s="249" t="str">
        <f t="shared" si="5"/>
        <v/>
      </c>
      <c r="I305" s="251">
        <f>IF(OR(ISBLANK('Оценка'!F304), ISBLANK('Оценка'!G304)), "", 
(AVERAGE(
  (
    ('Оценка'!F304 + 4*AVERAGE('Оценка'!F304:G304) + 'Оценка'!G304)/6 - 
    2*(('Оценка'!G304 - 'Оценка'!F304)/6)
  )/5 , 
  (
    ('Оценка'!F304 + 4*AVERAGE('Оценка'!F304:G304) + 'Оценка'!G304)/6 + 
    2*(('Оценка'!G304 - 'Оценка'!F304)/6)
  )/5
) * 
(
  (
    ('PM (Расчеты)'!$C$22/8 + 'PM (Расчеты)'!$C$23/40) + 
    'PM (Расчеты)'!$C$21/100 + 'PM (Расчеты)'!$C$25/100 + 
    'PM (Расчеты)'!$C$26/100
  ) + 1
)))
 * 8 * 60 * 60
</f>
        <v>0</v>
      </c>
      <c r="J305" s="252" t="str">
        <f>'Оценка'!B308</f>
        <v/>
      </c>
      <c r="K305" s="253" t="str">
        <f t="shared" si="6"/>
        <v/>
      </c>
      <c r="L305" s="253" t="str">
        <f t="shared" si="7"/>
        <v/>
      </c>
    </row>
    <row r="306">
      <c r="A306" s="247" t="str">
        <f>'Оценка'!C309</f>
        <v/>
      </c>
      <c r="B306" s="247" t="str">
        <f>'Оценка'!D309</f>
        <v/>
      </c>
      <c r="C306" s="249" t="str">
        <f t="shared" si="1"/>
        <v/>
      </c>
      <c r="D306" s="249" t="str">
        <f t="shared" si="2"/>
        <v/>
      </c>
      <c r="E306" s="249" t="str">
        <f t="shared" si="3"/>
        <v/>
      </c>
      <c r="F306" s="158" t="str">
        <f t="shared" si="4"/>
        <v/>
      </c>
      <c r="G306" s="247" t="str">
        <f>IF(A306&lt;&gt;"", 'Sales (Итоги оценки)'!$C$4, "")</f>
        <v/>
      </c>
      <c r="H306" s="249" t="str">
        <f t="shared" si="5"/>
        <v/>
      </c>
      <c r="I306" s="251">
        <f>IF(OR(ISBLANK('Оценка'!F305), ISBLANK('Оценка'!G305)), "", 
(AVERAGE(
  (
    ('Оценка'!F305 + 4*AVERAGE('Оценка'!F305:G305) + 'Оценка'!G305)/6 - 
    2*(('Оценка'!G305 - 'Оценка'!F305)/6)
  )/5 , 
  (
    ('Оценка'!F305 + 4*AVERAGE('Оценка'!F305:G305) + 'Оценка'!G305)/6 + 
    2*(('Оценка'!G305 - 'Оценка'!F305)/6)
  )/5
) * 
(
  (
    ('PM (Расчеты)'!$C$22/8 + 'PM (Расчеты)'!$C$23/40) + 
    'PM (Расчеты)'!$C$21/100 + 'PM (Расчеты)'!$C$25/100 + 
    'PM (Расчеты)'!$C$26/100
  ) + 1
)))
 * 8 * 60 * 60
</f>
        <v>0</v>
      </c>
      <c r="J306" s="252" t="str">
        <f>'Оценка'!B309</f>
        <v/>
      </c>
      <c r="K306" s="253" t="str">
        <f t="shared" si="6"/>
        <v/>
      </c>
      <c r="L306" s="253" t="str">
        <f t="shared" si="7"/>
        <v/>
      </c>
    </row>
    <row r="307">
      <c r="A307" s="247" t="str">
        <f>'Оценка'!C310</f>
        <v/>
      </c>
      <c r="B307" s="247" t="str">
        <f>'Оценка'!D310</f>
        <v/>
      </c>
      <c r="C307" s="249" t="str">
        <f t="shared" si="1"/>
        <v/>
      </c>
      <c r="D307" s="249" t="str">
        <f t="shared" si="2"/>
        <v/>
      </c>
      <c r="E307" s="249" t="str">
        <f t="shared" si="3"/>
        <v/>
      </c>
      <c r="F307" s="158" t="str">
        <f t="shared" si="4"/>
        <v/>
      </c>
      <c r="G307" s="247" t="str">
        <f>IF(A307&lt;&gt;"", 'Sales (Итоги оценки)'!$C$4, "")</f>
        <v/>
      </c>
      <c r="H307" s="249" t="str">
        <f t="shared" si="5"/>
        <v/>
      </c>
      <c r="I307" s="251">
        <f>IF(OR(ISBLANK('Оценка'!F306), ISBLANK('Оценка'!G306)), "", 
(AVERAGE(
  (
    ('Оценка'!F306 + 4*AVERAGE('Оценка'!F306:G306) + 'Оценка'!G306)/6 - 
    2*(('Оценка'!G306 - 'Оценка'!F306)/6)
  )/5 , 
  (
    ('Оценка'!F306 + 4*AVERAGE('Оценка'!F306:G306) + 'Оценка'!G306)/6 + 
    2*(('Оценка'!G306 - 'Оценка'!F306)/6)
  )/5
) * 
(
  (
    ('PM (Расчеты)'!$C$22/8 + 'PM (Расчеты)'!$C$23/40) + 
    'PM (Расчеты)'!$C$21/100 + 'PM (Расчеты)'!$C$25/100 + 
    'PM (Расчеты)'!$C$26/100
  ) + 1
)))
 * 8 * 60 * 60
</f>
        <v>0</v>
      </c>
      <c r="J307" s="252" t="str">
        <f>'Оценка'!B310</f>
        <v/>
      </c>
      <c r="K307" s="253" t="str">
        <f t="shared" si="6"/>
        <v/>
      </c>
      <c r="L307" s="253" t="str">
        <f t="shared" si="7"/>
        <v/>
      </c>
    </row>
    <row r="308">
      <c r="A308" s="247" t="str">
        <f>'Оценка'!C311</f>
        <v/>
      </c>
      <c r="B308" s="247" t="str">
        <f>'Оценка'!D311</f>
        <v/>
      </c>
      <c r="C308" s="249" t="str">
        <f t="shared" si="1"/>
        <v/>
      </c>
      <c r="D308" s="249" t="str">
        <f t="shared" si="2"/>
        <v/>
      </c>
      <c r="E308" s="249" t="str">
        <f t="shared" si="3"/>
        <v/>
      </c>
      <c r="F308" s="158" t="str">
        <f t="shared" si="4"/>
        <v/>
      </c>
      <c r="G308" s="247" t="str">
        <f>IF(A308&lt;&gt;"", 'Sales (Итоги оценки)'!$C$4, "")</f>
        <v/>
      </c>
      <c r="H308" s="249" t="str">
        <f t="shared" si="5"/>
        <v/>
      </c>
      <c r="I308" s="251">
        <f>IF(OR(ISBLANK('Оценка'!F307), ISBLANK('Оценка'!G307)), "", 
(AVERAGE(
  (
    ('Оценка'!F307 + 4*AVERAGE('Оценка'!F307:G307) + 'Оценка'!G307)/6 - 
    2*(('Оценка'!G307 - 'Оценка'!F307)/6)
  )/5 , 
  (
    ('Оценка'!F307 + 4*AVERAGE('Оценка'!F307:G307) + 'Оценка'!G307)/6 + 
    2*(('Оценка'!G307 - 'Оценка'!F307)/6)
  )/5
) * 
(
  (
    ('PM (Расчеты)'!$C$22/8 + 'PM (Расчеты)'!$C$23/40) + 
    'PM (Расчеты)'!$C$21/100 + 'PM (Расчеты)'!$C$25/100 + 
    'PM (Расчеты)'!$C$26/100
  ) + 1
)))
 * 8 * 60 * 60
</f>
        <v>0</v>
      </c>
      <c r="J308" s="252" t="str">
        <f>'Оценка'!B311</f>
        <v/>
      </c>
      <c r="K308" s="253" t="str">
        <f t="shared" si="6"/>
        <v/>
      </c>
      <c r="L308" s="253" t="str">
        <f t="shared" si="7"/>
        <v/>
      </c>
    </row>
    <row r="309">
      <c r="A309" s="247" t="str">
        <f>'Оценка'!C312</f>
        <v/>
      </c>
      <c r="B309" s="247" t="str">
        <f>'Оценка'!D312</f>
        <v/>
      </c>
      <c r="C309" s="249" t="str">
        <f t="shared" si="1"/>
        <v/>
      </c>
      <c r="D309" s="249" t="str">
        <f t="shared" si="2"/>
        <v/>
      </c>
      <c r="E309" s="249" t="str">
        <f t="shared" si="3"/>
        <v/>
      </c>
      <c r="F309" s="158" t="str">
        <f t="shared" si="4"/>
        <v/>
      </c>
      <c r="G309" s="247" t="str">
        <f>IF(A309&lt;&gt;"", 'Sales (Итоги оценки)'!$C$4, "")</f>
        <v/>
      </c>
      <c r="H309" s="249" t="str">
        <f t="shared" si="5"/>
        <v/>
      </c>
      <c r="I309" s="251">
        <f>IF(OR(ISBLANK('Оценка'!F308), ISBLANK('Оценка'!G308)), "", 
(AVERAGE(
  (
    ('Оценка'!F308 + 4*AVERAGE('Оценка'!F308:G308) + 'Оценка'!G308)/6 - 
    2*(('Оценка'!G308 - 'Оценка'!F308)/6)
  )/5 , 
  (
    ('Оценка'!F308 + 4*AVERAGE('Оценка'!F308:G308) + 'Оценка'!G308)/6 + 
    2*(('Оценка'!G308 - 'Оценка'!F308)/6)
  )/5
) * 
(
  (
    ('PM (Расчеты)'!$C$22/8 + 'PM (Расчеты)'!$C$23/40) + 
    'PM (Расчеты)'!$C$21/100 + 'PM (Расчеты)'!$C$25/100 + 
    'PM (Расчеты)'!$C$26/100
  ) + 1
)))
 * 8 * 60 * 60
</f>
        <v>0</v>
      </c>
      <c r="J309" s="252" t="str">
        <f>'Оценка'!B312</f>
        <v/>
      </c>
      <c r="K309" s="253" t="str">
        <f t="shared" si="6"/>
        <v/>
      </c>
      <c r="L309" s="253" t="str">
        <f t="shared" si="7"/>
        <v/>
      </c>
    </row>
    <row r="310">
      <c r="A310" s="247" t="str">
        <f>'Оценка'!C313</f>
        <v/>
      </c>
      <c r="B310" s="247" t="str">
        <f>'Оценка'!D313</f>
        <v/>
      </c>
      <c r="C310" s="249" t="str">
        <f t="shared" si="1"/>
        <v/>
      </c>
      <c r="D310" s="249" t="str">
        <f t="shared" si="2"/>
        <v/>
      </c>
      <c r="E310" s="249" t="str">
        <f t="shared" si="3"/>
        <v/>
      </c>
      <c r="F310" s="158" t="str">
        <f t="shared" si="4"/>
        <v/>
      </c>
      <c r="G310" s="247" t="str">
        <f>IF(A310&lt;&gt;"", 'Sales (Итоги оценки)'!$C$4, "")</f>
        <v/>
      </c>
      <c r="H310" s="249" t="str">
        <f t="shared" si="5"/>
        <v/>
      </c>
      <c r="I310" s="251">
        <f>IF(OR(ISBLANK('Оценка'!F309), ISBLANK('Оценка'!G309)), "", 
(AVERAGE(
  (
    ('Оценка'!F309 + 4*AVERAGE('Оценка'!F309:G309) + 'Оценка'!G309)/6 - 
    2*(('Оценка'!G309 - 'Оценка'!F309)/6)
  )/5 , 
  (
    ('Оценка'!F309 + 4*AVERAGE('Оценка'!F309:G309) + 'Оценка'!G309)/6 + 
    2*(('Оценка'!G309 - 'Оценка'!F309)/6)
  )/5
) * 
(
  (
    ('PM (Расчеты)'!$C$22/8 + 'PM (Расчеты)'!$C$23/40) + 
    'PM (Расчеты)'!$C$21/100 + 'PM (Расчеты)'!$C$25/100 + 
    'PM (Расчеты)'!$C$26/100
  ) + 1
)))
 * 8 * 60 * 60
</f>
        <v>0</v>
      </c>
      <c r="J310" s="252" t="str">
        <f>'Оценка'!B313</f>
        <v/>
      </c>
      <c r="K310" s="253" t="str">
        <f t="shared" si="6"/>
        <v/>
      </c>
      <c r="L310" s="253" t="str">
        <f t="shared" si="7"/>
        <v/>
      </c>
    </row>
    <row r="311">
      <c r="A311" s="247" t="str">
        <f>'Оценка'!C314</f>
        <v/>
      </c>
      <c r="B311" s="247" t="str">
        <f>'Оценка'!D314</f>
        <v/>
      </c>
      <c r="C311" s="249" t="str">
        <f t="shared" si="1"/>
        <v/>
      </c>
      <c r="D311" s="249" t="str">
        <f t="shared" si="2"/>
        <v/>
      </c>
      <c r="E311" s="249" t="str">
        <f t="shared" si="3"/>
        <v/>
      </c>
      <c r="F311" s="158" t="str">
        <f t="shared" si="4"/>
        <v/>
      </c>
      <c r="G311" s="247" t="str">
        <f>IF(A311&lt;&gt;"", 'Sales (Итоги оценки)'!$C$4, "")</f>
        <v/>
      </c>
      <c r="H311" s="249" t="str">
        <f t="shared" si="5"/>
        <v/>
      </c>
      <c r="I311" s="251">
        <f>IF(OR(ISBLANK('Оценка'!F310), ISBLANK('Оценка'!G310)), "", 
(AVERAGE(
  (
    ('Оценка'!F310 + 4*AVERAGE('Оценка'!F310:G310) + 'Оценка'!G310)/6 - 
    2*(('Оценка'!G310 - 'Оценка'!F310)/6)
  )/5 , 
  (
    ('Оценка'!F310 + 4*AVERAGE('Оценка'!F310:G310) + 'Оценка'!G310)/6 + 
    2*(('Оценка'!G310 - 'Оценка'!F310)/6)
  )/5
) * 
(
  (
    ('PM (Расчеты)'!$C$22/8 + 'PM (Расчеты)'!$C$23/40) + 
    'PM (Расчеты)'!$C$21/100 + 'PM (Расчеты)'!$C$25/100 + 
    'PM (Расчеты)'!$C$26/100
  ) + 1
)))
 * 8 * 60 * 60
</f>
        <v>0</v>
      </c>
      <c r="J311" s="252" t="str">
        <f>'Оценка'!B314</f>
        <v/>
      </c>
      <c r="K311" s="253" t="str">
        <f t="shared" si="6"/>
        <v/>
      </c>
      <c r="L311" s="253" t="str">
        <f t="shared" si="7"/>
        <v/>
      </c>
    </row>
    <row r="312">
      <c r="A312" s="247" t="str">
        <f>'Оценка'!C315</f>
        <v/>
      </c>
      <c r="B312" s="247" t="str">
        <f>'Оценка'!D315</f>
        <v/>
      </c>
      <c r="C312" s="249" t="str">
        <f t="shared" si="1"/>
        <v/>
      </c>
      <c r="D312" s="249" t="str">
        <f t="shared" si="2"/>
        <v/>
      </c>
      <c r="E312" s="249" t="str">
        <f t="shared" si="3"/>
        <v/>
      </c>
      <c r="F312" s="158" t="str">
        <f t="shared" si="4"/>
        <v/>
      </c>
      <c r="G312" s="247" t="str">
        <f>IF(A312&lt;&gt;"", 'Sales (Итоги оценки)'!$C$4, "")</f>
        <v/>
      </c>
      <c r="H312" s="249" t="str">
        <f t="shared" si="5"/>
        <v/>
      </c>
      <c r="I312" s="251">
        <f>IF(OR(ISBLANK('Оценка'!F311), ISBLANK('Оценка'!G311)), "", 
(AVERAGE(
  (
    ('Оценка'!F311 + 4*AVERAGE('Оценка'!F311:G311) + 'Оценка'!G311)/6 - 
    2*(('Оценка'!G311 - 'Оценка'!F311)/6)
  )/5 , 
  (
    ('Оценка'!F311 + 4*AVERAGE('Оценка'!F311:G311) + 'Оценка'!G311)/6 + 
    2*(('Оценка'!G311 - 'Оценка'!F311)/6)
  )/5
) * 
(
  (
    ('PM (Расчеты)'!$C$22/8 + 'PM (Расчеты)'!$C$23/40) + 
    'PM (Расчеты)'!$C$21/100 + 'PM (Расчеты)'!$C$25/100 + 
    'PM (Расчеты)'!$C$26/100
  ) + 1
)))
 * 8 * 60 * 60
</f>
        <v>0</v>
      </c>
      <c r="J312" s="252" t="str">
        <f>'Оценка'!B315</f>
        <v/>
      </c>
      <c r="K312" s="253" t="str">
        <f t="shared" si="6"/>
        <v/>
      </c>
      <c r="L312" s="253" t="str">
        <f t="shared" si="7"/>
        <v/>
      </c>
    </row>
    <row r="313">
      <c r="A313" s="247" t="str">
        <f>'Оценка'!C316</f>
        <v/>
      </c>
      <c r="B313" s="247" t="str">
        <f>'Оценка'!D316</f>
        <v/>
      </c>
      <c r="C313" s="249" t="str">
        <f t="shared" si="1"/>
        <v/>
      </c>
      <c r="D313" s="249" t="str">
        <f t="shared" si="2"/>
        <v/>
      </c>
      <c r="E313" s="249" t="str">
        <f t="shared" si="3"/>
        <v/>
      </c>
      <c r="F313" s="158" t="str">
        <f t="shared" si="4"/>
        <v/>
      </c>
      <c r="G313" s="247" t="str">
        <f>IF(A313&lt;&gt;"", 'Sales (Итоги оценки)'!$C$4, "")</f>
        <v/>
      </c>
      <c r="H313" s="249" t="str">
        <f t="shared" si="5"/>
        <v/>
      </c>
      <c r="I313" s="251">
        <f>IF(OR(ISBLANK('Оценка'!F312), ISBLANK('Оценка'!G312)), "", 
(AVERAGE(
  (
    ('Оценка'!F312 + 4*AVERAGE('Оценка'!F312:G312) + 'Оценка'!G312)/6 - 
    2*(('Оценка'!G312 - 'Оценка'!F312)/6)
  )/5 , 
  (
    ('Оценка'!F312 + 4*AVERAGE('Оценка'!F312:G312) + 'Оценка'!G312)/6 + 
    2*(('Оценка'!G312 - 'Оценка'!F312)/6)
  )/5
) * 
(
  (
    ('PM (Расчеты)'!$C$22/8 + 'PM (Расчеты)'!$C$23/40) + 
    'PM (Расчеты)'!$C$21/100 + 'PM (Расчеты)'!$C$25/100 + 
    'PM (Расчеты)'!$C$26/100
  ) + 1
)))
 * 8 * 60 * 60
</f>
        <v>0</v>
      </c>
      <c r="J313" s="252" t="str">
        <f>'Оценка'!B316</f>
        <v/>
      </c>
      <c r="K313" s="253" t="str">
        <f t="shared" si="6"/>
        <v/>
      </c>
      <c r="L313" s="253" t="str">
        <f t="shared" si="7"/>
        <v/>
      </c>
    </row>
    <row r="314">
      <c r="A314" s="247" t="str">
        <f>'Оценка'!C317</f>
        <v/>
      </c>
      <c r="B314" s="247" t="str">
        <f>'Оценка'!D317</f>
        <v/>
      </c>
      <c r="C314" s="249" t="str">
        <f t="shared" si="1"/>
        <v/>
      </c>
      <c r="D314" s="249" t="str">
        <f t="shared" si="2"/>
        <v/>
      </c>
      <c r="E314" s="249" t="str">
        <f t="shared" si="3"/>
        <v/>
      </c>
      <c r="F314" s="158" t="str">
        <f t="shared" si="4"/>
        <v/>
      </c>
      <c r="G314" s="247" t="str">
        <f>IF(A314&lt;&gt;"", 'Sales (Итоги оценки)'!$C$4, "")</f>
        <v/>
      </c>
      <c r="H314" s="249" t="str">
        <f t="shared" si="5"/>
        <v/>
      </c>
      <c r="I314" s="251">
        <f>IF(OR(ISBLANK('Оценка'!F313), ISBLANK('Оценка'!G313)), "", 
(AVERAGE(
  (
    ('Оценка'!F313 + 4*AVERAGE('Оценка'!F313:G313) + 'Оценка'!G313)/6 - 
    2*(('Оценка'!G313 - 'Оценка'!F313)/6)
  )/5 , 
  (
    ('Оценка'!F313 + 4*AVERAGE('Оценка'!F313:G313) + 'Оценка'!G313)/6 + 
    2*(('Оценка'!G313 - 'Оценка'!F313)/6)
  )/5
) * 
(
  (
    ('PM (Расчеты)'!$C$22/8 + 'PM (Расчеты)'!$C$23/40) + 
    'PM (Расчеты)'!$C$21/100 + 'PM (Расчеты)'!$C$25/100 + 
    'PM (Расчеты)'!$C$26/100
  ) + 1
)))
 * 8 * 60 * 60
</f>
        <v>0</v>
      </c>
      <c r="J314" s="252" t="str">
        <f>'Оценка'!B317</f>
        <v/>
      </c>
      <c r="K314" s="253" t="str">
        <f t="shared" si="6"/>
        <v/>
      </c>
      <c r="L314" s="253" t="str">
        <f t="shared" si="7"/>
        <v/>
      </c>
    </row>
    <row r="315">
      <c r="A315" s="247" t="str">
        <f>'Оценка'!C318</f>
        <v/>
      </c>
      <c r="B315" s="247" t="str">
        <f>'Оценка'!D318</f>
        <v/>
      </c>
      <c r="C315" s="249" t="str">
        <f t="shared" si="1"/>
        <v/>
      </c>
      <c r="D315" s="249" t="str">
        <f t="shared" si="2"/>
        <v/>
      </c>
      <c r="E315" s="249" t="str">
        <f t="shared" si="3"/>
        <v/>
      </c>
      <c r="F315" s="158" t="str">
        <f t="shared" si="4"/>
        <v/>
      </c>
      <c r="G315" s="247" t="str">
        <f>IF(A315&lt;&gt;"", 'Sales (Итоги оценки)'!$C$4, "")</f>
        <v/>
      </c>
      <c r="H315" s="249" t="str">
        <f t="shared" si="5"/>
        <v/>
      </c>
      <c r="I315" s="251">
        <f>IF(OR(ISBLANK('Оценка'!F314), ISBLANK('Оценка'!G314)), "", 
(AVERAGE(
  (
    ('Оценка'!F314 + 4*AVERAGE('Оценка'!F314:G314) + 'Оценка'!G314)/6 - 
    2*(('Оценка'!G314 - 'Оценка'!F314)/6)
  )/5 , 
  (
    ('Оценка'!F314 + 4*AVERAGE('Оценка'!F314:G314) + 'Оценка'!G314)/6 + 
    2*(('Оценка'!G314 - 'Оценка'!F314)/6)
  )/5
) * 
(
  (
    ('PM (Расчеты)'!$C$22/8 + 'PM (Расчеты)'!$C$23/40) + 
    'PM (Расчеты)'!$C$21/100 + 'PM (Расчеты)'!$C$25/100 + 
    'PM (Расчеты)'!$C$26/100
  ) + 1
)))
 * 8 * 60 * 60
</f>
        <v>0</v>
      </c>
      <c r="J315" s="252" t="str">
        <f>'Оценка'!B318</f>
        <v/>
      </c>
      <c r="K315" s="253" t="str">
        <f t="shared" si="6"/>
        <v/>
      </c>
      <c r="L315" s="253" t="str">
        <f t="shared" si="7"/>
        <v/>
      </c>
    </row>
    <row r="316">
      <c r="A316" s="247" t="str">
        <f>'Оценка'!C319</f>
        <v/>
      </c>
      <c r="B316" s="247" t="str">
        <f>'Оценка'!D319</f>
        <v/>
      </c>
      <c r="C316" s="249" t="str">
        <f t="shared" si="1"/>
        <v/>
      </c>
      <c r="D316" s="249" t="str">
        <f t="shared" si="2"/>
        <v/>
      </c>
      <c r="E316" s="249" t="str">
        <f t="shared" si="3"/>
        <v/>
      </c>
      <c r="F316" s="158" t="str">
        <f t="shared" si="4"/>
        <v/>
      </c>
      <c r="G316" s="247" t="str">
        <f>IF(A316&lt;&gt;"", 'Sales (Итоги оценки)'!$C$4, "")</f>
        <v/>
      </c>
      <c r="H316" s="249" t="str">
        <f t="shared" si="5"/>
        <v/>
      </c>
      <c r="I316" s="251">
        <f>IF(OR(ISBLANK('Оценка'!F315), ISBLANK('Оценка'!G315)), "", 
(AVERAGE(
  (
    ('Оценка'!F315 + 4*AVERAGE('Оценка'!F315:G315) + 'Оценка'!G315)/6 - 
    2*(('Оценка'!G315 - 'Оценка'!F315)/6)
  )/5 , 
  (
    ('Оценка'!F315 + 4*AVERAGE('Оценка'!F315:G315) + 'Оценка'!G315)/6 + 
    2*(('Оценка'!G315 - 'Оценка'!F315)/6)
  )/5
) * 
(
  (
    ('PM (Расчеты)'!$C$22/8 + 'PM (Расчеты)'!$C$23/40) + 
    'PM (Расчеты)'!$C$21/100 + 'PM (Расчеты)'!$C$25/100 + 
    'PM (Расчеты)'!$C$26/100
  ) + 1
)))
 * 8 * 60 * 60
</f>
        <v>0</v>
      </c>
      <c r="J316" s="252" t="str">
        <f>'Оценка'!B319</f>
        <v/>
      </c>
      <c r="K316" s="253" t="str">
        <f t="shared" si="6"/>
        <v/>
      </c>
      <c r="L316" s="253" t="str">
        <f t="shared" si="7"/>
        <v/>
      </c>
    </row>
    <row r="317">
      <c r="A317" s="247" t="str">
        <f>'Оценка'!C320</f>
        <v/>
      </c>
      <c r="B317" s="247" t="str">
        <f>'Оценка'!D320</f>
        <v/>
      </c>
      <c r="C317" s="249" t="str">
        <f t="shared" si="1"/>
        <v/>
      </c>
      <c r="D317" s="249" t="str">
        <f t="shared" si="2"/>
        <v/>
      </c>
      <c r="E317" s="249" t="str">
        <f t="shared" si="3"/>
        <v/>
      </c>
      <c r="F317" s="158" t="str">
        <f t="shared" si="4"/>
        <v/>
      </c>
      <c r="G317" s="247" t="str">
        <f>IF(A317&lt;&gt;"", 'Sales (Итоги оценки)'!$C$4, "")</f>
        <v/>
      </c>
      <c r="H317" s="249" t="str">
        <f t="shared" si="5"/>
        <v/>
      </c>
      <c r="I317" s="251">
        <f>IF(OR(ISBLANK('Оценка'!F316), ISBLANK('Оценка'!G316)), "", 
(AVERAGE(
  (
    ('Оценка'!F316 + 4*AVERAGE('Оценка'!F316:G316) + 'Оценка'!G316)/6 - 
    2*(('Оценка'!G316 - 'Оценка'!F316)/6)
  )/5 , 
  (
    ('Оценка'!F316 + 4*AVERAGE('Оценка'!F316:G316) + 'Оценка'!G316)/6 + 
    2*(('Оценка'!G316 - 'Оценка'!F316)/6)
  )/5
) * 
(
  (
    ('PM (Расчеты)'!$C$22/8 + 'PM (Расчеты)'!$C$23/40) + 
    'PM (Расчеты)'!$C$21/100 + 'PM (Расчеты)'!$C$25/100 + 
    'PM (Расчеты)'!$C$26/100
  ) + 1
)))
 * 8 * 60 * 60
</f>
        <v>0</v>
      </c>
      <c r="J317" s="252" t="str">
        <f>'Оценка'!B320</f>
        <v/>
      </c>
      <c r="K317" s="253" t="str">
        <f t="shared" si="6"/>
        <v/>
      </c>
      <c r="L317" s="253" t="str">
        <f t="shared" si="7"/>
        <v/>
      </c>
    </row>
    <row r="318">
      <c r="A318" s="247" t="str">
        <f>'Оценка'!C321</f>
        <v/>
      </c>
      <c r="B318" s="247" t="str">
        <f>'Оценка'!D321</f>
        <v/>
      </c>
      <c r="C318" s="249" t="str">
        <f t="shared" si="1"/>
        <v/>
      </c>
      <c r="D318" s="249" t="str">
        <f t="shared" si="2"/>
        <v/>
      </c>
      <c r="E318" s="249" t="str">
        <f t="shared" si="3"/>
        <v/>
      </c>
      <c r="F318" s="158" t="str">
        <f t="shared" si="4"/>
        <v/>
      </c>
      <c r="G318" s="247" t="str">
        <f>IF(A318&lt;&gt;"", 'Sales (Итоги оценки)'!$C$4, "")</f>
        <v/>
      </c>
      <c r="H318" s="249" t="str">
        <f t="shared" si="5"/>
        <v/>
      </c>
      <c r="I318" s="251">
        <f>IF(OR(ISBLANK('Оценка'!F317), ISBLANK('Оценка'!G317)), "", 
(AVERAGE(
  (
    ('Оценка'!F317 + 4*AVERAGE('Оценка'!F317:G317) + 'Оценка'!G317)/6 - 
    2*(('Оценка'!G317 - 'Оценка'!F317)/6)
  )/5 , 
  (
    ('Оценка'!F317 + 4*AVERAGE('Оценка'!F317:G317) + 'Оценка'!G317)/6 + 
    2*(('Оценка'!G317 - 'Оценка'!F317)/6)
  )/5
) * 
(
  (
    ('PM (Расчеты)'!$C$22/8 + 'PM (Расчеты)'!$C$23/40) + 
    'PM (Расчеты)'!$C$21/100 + 'PM (Расчеты)'!$C$25/100 + 
    'PM (Расчеты)'!$C$26/100
  ) + 1
)))
 * 8 * 60 * 60
</f>
        <v>0</v>
      </c>
      <c r="J318" s="252" t="str">
        <f>'Оценка'!B321</f>
        <v/>
      </c>
      <c r="K318" s="253" t="str">
        <f t="shared" si="6"/>
        <v/>
      </c>
      <c r="L318" s="253" t="str">
        <f t="shared" si="7"/>
        <v/>
      </c>
    </row>
    <row r="319">
      <c r="A319" s="247" t="str">
        <f>'Оценка'!C322</f>
        <v/>
      </c>
      <c r="B319" s="247" t="str">
        <f>'Оценка'!D322</f>
        <v/>
      </c>
      <c r="C319" s="249" t="str">
        <f t="shared" si="1"/>
        <v/>
      </c>
      <c r="D319" s="249" t="str">
        <f t="shared" si="2"/>
        <v/>
      </c>
      <c r="E319" s="249" t="str">
        <f t="shared" si="3"/>
        <v/>
      </c>
      <c r="F319" s="158" t="str">
        <f t="shared" si="4"/>
        <v/>
      </c>
      <c r="G319" s="247" t="str">
        <f>IF(A319&lt;&gt;"", 'Sales (Итоги оценки)'!$C$4, "")</f>
        <v/>
      </c>
      <c r="H319" s="249" t="str">
        <f t="shared" si="5"/>
        <v/>
      </c>
      <c r="I319" s="251">
        <f>IF(OR(ISBLANK('Оценка'!F318), ISBLANK('Оценка'!G318)), "", 
(AVERAGE(
  (
    ('Оценка'!F318 + 4*AVERAGE('Оценка'!F318:G318) + 'Оценка'!G318)/6 - 
    2*(('Оценка'!G318 - 'Оценка'!F318)/6)
  )/5 , 
  (
    ('Оценка'!F318 + 4*AVERAGE('Оценка'!F318:G318) + 'Оценка'!G318)/6 + 
    2*(('Оценка'!G318 - 'Оценка'!F318)/6)
  )/5
) * 
(
  (
    ('PM (Расчеты)'!$C$22/8 + 'PM (Расчеты)'!$C$23/40) + 
    'PM (Расчеты)'!$C$21/100 + 'PM (Расчеты)'!$C$25/100 + 
    'PM (Расчеты)'!$C$26/100
  ) + 1
)))
 * 8 * 60 * 60
</f>
        <v>0</v>
      </c>
      <c r="J319" s="252" t="str">
        <f>'Оценка'!B322</f>
        <v/>
      </c>
      <c r="K319" s="253" t="str">
        <f t="shared" si="6"/>
        <v/>
      </c>
      <c r="L319" s="253" t="str">
        <f t="shared" si="7"/>
        <v/>
      </c>
    </row>
    <row r="320">
      <c r="A320" s="247" t="str">
        <f>'Оценка'!C323</f>
        <v/>
      </c>
      <c r="B320" s="247" t="str">
        <f>'Оценка'!D323</f>
        <v/>
      </c>
      <c r="C320" s="249" t="str">
        <f t="shared" si="1"/>
        <v/>
      </c>
      <c r="D320" s="249" t="str">
        <f t="shared" si="2"/>
        <v/>
      </c>
      <c r="E320" s="249" t="str">
        <f t="shared" si="3"/>
        <v/>
      </c>
      <c r="F320" s="158" t="str">
        <f t="shared" si="4"/>
        <v/>
      </c>
      <c r="G320" s="247" t="str">
        <f>IF(A320&lt;&gt;"", 'Sales (Итоги оценки)'!$C$4, "")</f>
        <v/>
      </c>
      <c r="H320" s="249" t="str">
        <f t="shared" si="5"/>
        <v/>
      </c>
      <c r="I320" s="251">
        <f>IF(OR(ISBLANK('Оценка'!F319), ISBLANK('Оценка'!G319)), "", 
(AVERAGE(
  (
    ('Оценка'!F319 + 4*AVERAGE('Оценка'!F319:G319) + 'Оценка'!G319)/6 - 
    2*(('Оценка'!G319 - 'Оценка'!F319)/6)
  )/5 , 
  (
    ('Оценка'!F319 + 4*AVERAGE('Оценка'!F319:G319) + 'Оценка'!G319)/6 + 
    2*(('Оценка'!G319 - 'Оценка'!F319)/6)
  )/5
) * 
(
  (
    ('PM (Расчеты)'!$C$22/8 + 'PM (Расчеты)'!$C$23/40) + 
    'PM (Расчеты)'!$C$21/100 + 'PM (Расчеты)'!$C$25/100 + 
    'PM (Расчеты)'!$C$26/100
  ) + 1
)))
 * 8 * 60 * 60
</f>
        <v>0</v>
      </c>
      <c r="J320" s="252" t="str">
        <f>'Оценка'!B323</f>
        <v/>
      </c>
      <c r="K320" s="253" t="str">
        <f t="shared" si="6"/>
        <v/>
      </c>
      <c r="L320" s="253" t="str">
        <f t="shared" si="7"/>
        <v/>
      </c>
    </row>
    <row r="321">
      <c r="A321" s="247" t="str">
        <f>'Оценка'!C324</f>
        <v/>
      </c>
      <c r="B321" s="247" t="str">
        <f>'Оценка'!D324</f>
        <v/>
      </c>
      <c r="C321" s="249" t="str">
        <f t="shared" si="1"/>
        <v/>
      </c>
      <c r="D321" s="249" t="str">
        <f t="shared" si="2"/>
        <v/>
      </c>
      <c r="E321" s="249" t="str">
        <f t="shared" si="3"/>
        <v/>
      </c>
      <c r="F321" s="158" t="str">
        <f t="shared" si="4"/>
        <v/>
      </c>
      <c r="G321" s="247" t="str">
        <f>IF(A321&lt;&gt;"", 'Sales (Итоги оценки)'!$C$4, "")</f>
        <v/>
      </c>
      <c r="H321" s="249" t="str">
        <f t="shared" si="5"/>
        <v/>
      </c>
      <c r="I321" s="251">
        <f>IF(OR(ISBLANK('Оценка'!F320), ISBLANK('Оценка'!G320)), "", 
(AVERAGE(
  (
    ('Оценка'!F320 + 4*AVERAGE('Оценка'!F320:G320) + 'Оценка'!G320)/6 - 
    2*(('Оценка'!G320 - 'Оценка'!F320)/6)
  )/5 , 
  (
    ('Оценка'!F320 + 4*AVERAGE('Оценка'!F320:G320) + 'Оценка'!G320)/6 + 
    2*(('Оценка'!G320 - 'Оценка'!F320)/6)
  )/5
) * 
(
  (
    ('PM (Расчеты)'!$C$22/8 + 'PM (Расчеты)'!$C$23/40) + 
    'PM (Расчеты)'!$C$21/100 + 'PM (Расчеты)'!$C$25/100 + 
    'PM (Расчеты)'!$C$26/100
  ) + 1
)))
 * 8 * 60 * 60
</f>
        <v>0</v>
      </c>
      <c r="J321" s="252" t="str">
        <f>'Оценка'!B324</f>
        <v/>
      </c>
      <c r="K321" s="253" t="str">
        <f t="shared" si="6"/>
        <v/>
      </c>
      <c r="L321" s="253" t="str">
        <f t="shared" si="7"/>
        <v/>
      </c>
    </row>
    <row r="322">
      <c r="A322" s="247" t="str">
        <f>'Оценка'!C325</f>
        <v/>
      </c>
      <c r="B322" s="247" t="str">
        <f>'Оценка'!D325</f>
        <v/>
      </c>
      <c r="C322" s="249" t="str">
        <f t="shared" si="1"/>
        <v/>
      </c>
      <c r="D322" s="249" t="str">
        <f t="shared" si="2"/>
        <v/>
      </c>
      <c r="E322" s="249" t="str">
        <f t="shared" si="3"/>
        <v/>
      </c>
      <c r="F322" s="158" t="str">
        <f t="shared" si="4"/>
        <v/>
      </c>
      <c r="G322" s="247" t="str">
        <f>IF(A322&lt;&gt;"", 'Sales (Итоги оценки)'!$C$4, "")</f>
        <v/>
      </c>
      <c r="H322" s="249" t="str">
        <f t="shared" si="5"/>
        <v/>
      </c>
      <c r="I322" s="251">
        <f>IF(OR(ISBLANK('Оценка'!F321), ISBLANK('Оценка'!G321)), "", 
(AVERAGE(
  (
    ('Оценка'!F321 + 4*AVERAGE('Оценка'!F321:G321) + 'Оценка'!G321)/6 - 
    2*(('Оценка'!G321 - 'Оценка'!F321)/6)
  )/5 , 
  (
    ('Оценка'!F321 + 4*AVERAGE('Оценка'!F321:G321) + 'Оценка'!G321)/6 + 
    2*(('Оценка'!G321 - 'Оценка'!F321)/6)
  )/5
) * 
(
  (
    ('PM (Расчеты)'!$C$22/8 + 'PM (Расчеты)'!$C$23/40) + 
    'PM (Расчеты)'!$C$21/100 + 'PM (Расчеты)'!$C$25/100 + 
    'PM (Расчеты)'!$C$26/100
  ) + 1
)))
 * 8 * 60 * 60
</f>
        <v>0</v>
      </c>
      <c r="J322" s="252" t="str">
        <f>'Оценка'!B325</f>
        <v/>
      </c>
      <c r="K322" s="253" t="str">
        <f t="shared" si="6"/>
        <v/>
      </c>
      <c r="L322" s="253" t="str">
        <f t="shared" si="7"/>
        <v/>
      </c>
    </row>
    <row r="323">
      <c r="A323" s="247" t="str">
        <f>'Оценка'!C326</f>
        <v/>
      </c>
      <c r="B323" s="247" t="str">
        <f>'Оценка'!D326</f>
        <v/>
      </c>
      <c r="C323" s="249" t="str">
        <f t="shared" si="1"/>
        <v/>
      </c>
      <c r="D323" s="249" t="str">
        <f t="shared" si="2"/>
        <v/>
      </c>
      <c r="E323" s="249" t="str">
        <f t="shared" si="3"/>
        <v/>
      </c>
      <c r="F323" s="158" t="str">
        <f t="shared" si="4"/>
        <v/>
      </c>
      <c r="G323" s="247" t="str">
        <f>IF(A323&lt;&gt;"", 'Sales (Итоги оценки)'!$C$4, "")</f>
        <v/>
      </c>
      <c r="H323" s="249" t="str">
        <f t="shared" si="5"/>
        <v/>
      </c>
      <c r="I323" s="251">
        <f>IF(OR(ISBLANK('Оценка'!F322), ISBLANK('Оценка'!G322)), "", 
(AVERAGE(
  (
    ('Оценка'!F322 + 4*AVERAGE('Оценка'!F322:G322) + 'Оценка'!G322)/6 - 
    2*(('Оценка'!G322 - 'Оценка'!F322)/6)
  )/5 , 
  (
    ('Оценка'!F322 + 4*AVERAGE('Оценка'!F322:G322) + 'Оценка'!G322)/6 + 
    2*(('Оценка'!G322 - 'Оценка'!F322)/6)
  )/5
) * 
(
  (
    ('PM (Расчеты)'!$C$22/8 + 'PM (Расчеты)'!$C$23/40) + 
    'PM (Расчеты)'!$C$21/100 + 'PM (Расчеты)'!$C$25/100 + 
    'PM (Расчеты)'!$C$26/100
  ) + 1
)))
 * 8 * 60 * 60
</f>
        <v>0</v>
      </c>
      <c r="J323" s="252" t="str">
        <f>'Оценка'!B326</f>
        <v/>
      </c>
      <c r="K323" s="253" t="str">
        <f t="shared" si="6"/>
        <v/>
      </c>
      <c r="L323" s="253" t="str">
        <f t="shared" si="7"/>
        <v/>
      </c>
    </row>
    <row r="324">
      <c r="A324" s="247" t="str">
        <f>'Оценка'!C327</f>
        <v/>
      </c>
      <c r="B324" s="247" t="str">
        <f>'Оценка'!D327</f>
        <v/>
      </c>
      <c r="C324" s="249" t="str">
        <f t="shared" si="1"/>
        <v/>
      </c>
      <c r="D324" s="249" t="str">
        <f t="shared" si="2"/>
        <v/>
      </c>
      <c r="E324" s="249" t="str">
        <f t="shared" si="3"/>
        <v/>
      </c>
      <c r="F324" s="158" t="str">
        <f t="shared" si="4"/>
        <v/>
      </c>
      <c r="G324" s="247" t="str">
        <f>IF(A324&lt;&gt;"", 'Sales (Итоги оценки)'!$C$4, "")</f>
        <v/>
      </c>
      <c r="H324" s="249" t="str">
        <f t="shared" si="5"/>
        <v/>
      </c>
      <c r="I324" s="251">
        <f>IF(OR(ISBLANK('Оценка'!F323), ISBLANK('Оценка'!G323)), "", 
(AVERAGE(
  (
    ('Оценка'!F323 + 4*AVERAGE('Оценка'!F323:G323) + 'Оценка'!G323)/6 - 
    2*(('Оценка'!G323 - 'Оценка'!F323)/6)
  )/5 , 
  (
    ('Оценка'!F323 + 4*AVERAGE('Оценка'!F323:G323) + 'Оценка'!G323)/6 + 
    2*(('Оценка'!G323 - 'Оценка'!F323)/6)
  )/5
) * 
(
  (
    ('PM (Расчеты)'!$C$22/8 + 'PM (Расчеты)'!$C$23/40) + 
    'PM (Расчеты)'!$C$21/100 + 'PM (Расчеты)'!$C$25/100 + 
    'PM (Расчеты)'!$C$26/100
  ) + 1
)))
 * 8 * 60 * 60
</f>
        <v>0</v>
      </c>
      <c r="J324" s="252" t="str">
        <f>'Оценка'!B327</f>
        <v/>
      </c>
      <c r="K324" s="253" t="str">
        <f t="shared" si="6"/>
        <v/>
      </c>
      <c r="L324" s="253" t="str">
        <f t="shared" si="7"/>
        <v/>
      </c>
    </row>
    <row r="325">
      <c r="A325" s="247" t="str">
        <f>'Оценка'!C328</f>
        <v/>
      </c>
      <c r="B325" s="247" t="str">
        <f>'Оценка'!D328</f>
        <v/>
      </c>
      <c r="C325" s="249" t="str">
        <f t="shared" si="1"/>
        <v/>
      </c>
      <c r="D325" s="249" t="str">
        <f t="shared" si="2"/>
        <v/>
      </c>
      <c r="E325" s="249" t="str">
        <f t="shared" si="3"/>
        <v/>
      </c>
      <c r="F325" s="158" t="str">
        <f t="shared" si="4"/>
        <v/>
      </c>
      <c r="G325" s="247" t="str">
        <f>IF(A325&lt;&gt;"", 'Sales (Итоги оценки)'!$C$4, "")</f>
        <v/>
      </c>
      <c r="H325" s="249" t="str">
        <f t="shared" si="5"/>
        <v/>
      </c>
      <c r="I325" s="251">
        <f>IF(OR(ISBLANK('Оценка'!F324), ISBLANK('Оценка'!G324)), "", 
(AVERAGE(
  (
    ('Оценка'!F324 + 4*AVERAGE('Оценка'!F324:G324) + 'Оценка'!G324)/6 - 
    2*(('Оценка'!G324 - 'Оценка'!F324)/6)
  )/5 , 
  (
    ('Оценка'!F324 + 4*AVERAGE('Оценка'!F324:G324) + 'Оценка'!G324)/6 + 
    2*(('Оценка'!G324 - 'Оценка'!F324)/6)
  )/5
) * 
(
  (
    ('PM (Расчеты)'!$C$22/8 + 'PM (Расчеты)'!$C$23/40) + 
    'PM (Расчеты)'!$C$21/100 + 'PM (Расчеты)'!$C$25/100 + 
    'PM (Расчеты)'!$C$26/100
  ) + 1
)))
 * 8 * 60 * 60
</f>
        <v>0</v>
      </c>
      <c r="J325" s="252" t="str">
        <f>'Оценка'!B328</f>
        <v/>
      </c>
      <c r="K325" s="253" t="str">
        <f t="shared" si="6"/>
        <v/>
      </c>
      <c r="L325" s="253" t="str">
        <f t="shared" si="7"/>
        <v/>
      </c>
    </row>
    <row r="326">
      <c r="A326" s="247" t="str">
        <f>'Оценка'!C329</f>
        <v/>
      </c>
      <c r="B326" s="247" t="str">
        <f>'Оценка'!D329</f>
        <v/>
      </c>
      <c r="C326" s="249" t="str">
        <f t="shared" si="1"/>
        <v/>
      </c>
      <c r="D326" s="249" t="str">
        <f t="shared" si="2"/>
        <v/>
      </c>
      <c r="E326" s="249" t="str">
        <f t="shared" si="3"/>
        <v/>
      </c>
      <c r="F326" s="158" t="str">
        <f t="shared" si="4"/>
        <v/>
      </c>
      <c r="G326" s="247" t="str">
        <f>IF(A326&lt;&gt;"", 'Sales (Итоги оценки)'!$C$4, "")</f>
        <v/>
      </c>
      <c r="H326" s="249" t="str">
        <f t="shared" si="5"/>
        <v/>
      </c>
      <c r="I326" s="251">
        <f>IF(OR(ISBLANK('Оценка'!F325), ISBLANK('Оценка'!G325)), "", 
(AVERAGE(
  (
    ('Оценка'!F325 + 4*AVERAGE('Оценка'!F325:G325) + 'Оценка'!G325)/6 - 
    2*(('Оценка'!G325 - 'Оценка'!F325)/6)
  )/5 , 
  (
    ('Оценка'!F325 + 4*AVERAGE('Оценка'!F325:G325) + 'Оценка'!G325)/6 + 
    2*(('Оценка'!G325 - 'Оценка'!F325)/6)
  )/5
) * 
(
  (
    ('PM (Расчеты)'!$C$22/8 + 'PM (Расчеты)'!$C$23/40) + 
    'PM (Расчеты)'!$C$21/100 + 'PM (Расчеты)'!$C$25/100 + 
    'PM (Расчеты)'!$C$26/100
  ) + 1
)))
 * 8 * 60 * 60
</f>
        <v>0</v>
      </c>
      <c r="J326" s="252" t="str">
        <f>'Оценка'!B329</f>
        <v/>
      </c>
      <c r="K326" s="253" t="str">
        <f t="shared" si="6"/>
        <v/>
      </c>
      <c r="L326" s="253" t="str">
        <f t="shared" si="7"/>
        <v/>
      </c>
    </row>
    <row r="327">
      <c r="A327" s="247" t="str">
        <f>'Оценка'!C330</f>
        <v/>
      </c>
      <c r="B327" s="247" t="str">
        <f>'Оценка'!D330</f>
        <v/>
      </c>
      <c r="C327" s="249" t="str">
        <f t="shared" si="1"/>
        <v/>
      </c>
      <c r="D327" s="249" t="str">
        <f t="shared" si="2"/>
        <v/>
      </c>
      <c r="E327" s="249" t="str">
        <f t="shared" si="3"/>
        <v/>
      </c>
      <c r="F327" s="158" t="str">
        <f t="shared" si="4"/>
        <v/>
      </c>
      <c r="G327" s="247" t="str">
        <f>IF(A327&lt;&gt;"", 'Sales (Итоги оценки)'!$C$4, "")</f>
        <v/>
      </c>
      <c r="H327" s="249" t="str">
        <f t="shared" si="5"/>
        <v/>
      </c>
      <c r="I327" s="251">
        <f>IF(OR(ISBLANK('Оценка'!F326), ISBLANK('Оценка'!G326)), "", 
(AVERAGE(
  (
    ('Оценка'!F326 + 4*AVERAGE('Оценка'!F326:G326) + 'Оценка'!G326)/6 - 
    2*(('Оценка'!G326 - 'Оценка'!F326)/6)
  )/5 , 
  (
    ('Оценка'!F326 + 4*AVERAGE('Оценка'!F326:G326) + 'Оценка'!G326)/6 + 
    2*(('Оценка'!G326 - 'Оценка'!F326)/6)
  )/5
) * 
(
  (
    ('PM (Расчеты)'!$C$22/8 + 'PM (Расчеты)'!$C$23/40) + 
    'PM (Расчеты)'!$C$21/100 + 'PM (Расчеты)'!$C$25/100 + 
    'PM (Расчеты)'!$C$26/100
  ) + 1
)))
 * 8 * 60 * 60
</f>
        <v>0</v>
      </c>
      <c r="J327" s="252" t="str">
        <f>'Оценка'!B330</f>
        <v/>
      </c>
      <c r="K327" s="253" t="str">
        <f t="shared" si="6"/>
        <v/>
      </c>
      <c r="L327" s="253" t="str">
        <f t="shared" si="7"/>
        <v/>
      </c>
    </row>
    <row r="328">
      <c r="A328" s="247" t="str">
        <f>'Оценка'!C331</f>
        <v/>
      </c>
      <c r="B328" s="247" t="str">
        <f>'Оценка'!D331</f>
        <v/>
      </c>
      <c r="C328" s="249" t="str">
        <f t="shared" si="1"/>
        <v/>
      </c>
      <c r="D328" s="249" t="str">
        <f t="shared" si="2"/>
        <v/>
      </c>
      <c r="E328" s="249" t="str">
        <f t="shared" si="3"/>
        <v/>
      </c>
      <c r="F328" s="158" t="str">
        <f t="shared" si="4"/>
        <v/>
      </c>
      <c r="G328" s="247" t="str">
        <f>IF(A328&lt;&gt;"", 'Sales (Итоги оценки)'!$C$4, "")</f>
        <v/>
      </c>
      <c r="H328" s="249" t="str">
        <f t="shared" si="5"/>
        <v/>
      </c>
      <c r="I328" s="251">
        <f>IF(OR(ISBLANK('Оценка'!F327), ISBLANK('Оценка'!G327)), "", 
(AVERAGE(
  (
    ('Оценка'!F327 + 4*AVERAGE('Оценка'!F327:G327) + 'Оценка'!G327)/6 - 
    2*(('Оценка'!G327 - 'Оценка'!F327)/6)
  )/5 , 
  (
    ('Оценка'!F327 + 4*AVERAGE('Оценка'!F327:G327) + 'Оценка'!G327)/6 + 
    2*(('Оценка'!G327 - 'Оценка'!F327)/6)
  )/5
) * 
(
  (
    ('PM (Расчеты)'!$C$22/8 + 'PM (Расчеты)'!$C$23/40) + 
    'PM (Расчеты)'!$C$21/100 + 'PM (Расчеты)'!$C$25/100 + 
    'PM (Расчеты)'!$C$26/100
  ) + 1
)))
 * 8 * 60 * 60
</f>
        <v>0</v>
      </c>
      <c r="J328" s="252" t="str">
        <f>'Оценка'!B331</f>
        <v/>
      </c>
      <c r="K328" s="253" t="str">
        <f t="shared" si="6"/>
        <v/>
      </c>
      <c r="L328" s="253" t="str">
        <f t="shared" si="7"/>
        <v/>
      </c>
    </row>
    <row r="329">
      <c r="A329" s="247" t="str">
        <f>'Оценка'!C332</f>
        <v/>
      </c>
      <c r="B329" s="247" t="str">
        <f>'Оценка'!D332</f>
        <v/>
      </c>
      <c r="C329" s="249" t="str">
        <f t="shared" si="1"/>
        <v/>
      </c>
      <c r="D329" s="249" t="str">
        <f t="shared" si="2"/>
        <v/>
      </c>
      <c r="E329" s="249" t="str">
        <f t="shared" si="3"/>
        <v/>
      </c>
      <c r="F329" s="158" t="str">
        <f t="shared" si="4"/>
        <v/>
      </c>
      <c r="G329" s="247" t="str">
        <f>IF(A329&lt;&gt;"", 'Sales (Итоги оценки)'!$C$4, "")</f>
        <v/>
      </c>
      <c r="H329" s="249" t="str">
        <f t="shared" si="5"/>
        <v/>
      </c>
      <c r="I329" s="251">
        <f>IF(OR(ISBLANK('Оценка'!F328), ISBLANK('Оценка'!G328)), "", 
(AVERAGE(
  (
    ('Оценка'!F328 + 4*AVERAGE('Оценка'!F328:G328) + 'Оценка'!G328)/6 - 
    2*(('Оценка'!G328 - 'Оценка'!F328)/6)
  )/5 , 
  (
    ('Оценка'!F328 + 4*AVERAGE('Оценка'!F328:G328) + 'Оценка'!G328)/6 + 
    2*(('Оценка'!G328 - 'Оценка'!F328)/6)
  )/5
) * 
(
  (
    ('PM (Расчеты)'!$C$22/8 + 'PM (Расчеты)'!$C$23/40) + 
    'PM (Расчеты)'!$C$21/100 + 'PM (Расчеты)'!$C$25/100 + 
    'PM (Расчеты)'!$C$26/100
  ) + 1
)))
 * 8 * 60 * 60
</f>
        <v>0</v>
      </c>
      <c r="J329" s="252" t="str">
        <f>'Оценка'!B332</f>
        <v/>
      </c>
      <c r="K329" s="253" t="str">
        <f t="shared" si="6"/>
        <v/>
      </c>
      <c r="L329" s="253" t="str">
        <f t="shared" si="7"/>
        <v/>
      </c>
    </row>
    <row r="330">
      <c r="A330" s="247" t="str">
        <f>'Оценка'!C333</f>
        <v/>
      </c>
      <c r="B330" s="247" t="str">
        <f>'Оценка'!D333</f>
        <v/>
      </c>
      <c r="C330" s="249" t="str">
        <f t="shared" si="1"/>
        <v/>
      </c>
      <c r="D330" s="249" t="str">
        <f t="shared" si="2"/>
        <v/>
      </c>
      <c r="E330" s="249" t="str">
        <f t="shared" si="3"/>
        <v/>
      </c>
      <c r="F330" s="158" t="str">
        <f t="shared" si="4"/>
        <v/>
      </c>
      <c r="G330" s="247" t="str">
        <f>IF(A330&lt;&gt;"", 'Sales (Итоги оценки)'!$C$4, "")</f>
        <v/>
      </c>
      <c r="H330" s="249" t="str">
        <f t="shared" si="5"/>
        <v/>
      </c>
      <c r="I330" s="251">
        <f>IF(OR(ISBLANK('Оценка'!F329), ISBLANK('Оценка'!G329)), "", 
(AVERAGE(
  (
    ('Оценка'!F329 + 4*AVERAGE('Оценка'!F329:G329) + 'Оценка'!G329)/6 - 
    2*(('Оценка'!G329 - 'Оценка'!F329)/6)
  )/5 , 
  (
    ('Оценка'!F329 + 4*AVERAGE('Оценка'!F329:G329) + 'Оценка'!G329)/6 + 
    2*(('Оценка'!G329 - 'Оценка'!F329)/6)
  )/5
) * 
(
  (
    ('PM (Расчеты)'!$C$22/8 + 'PM (Расчеты)'!$C$23/40) + 
    'PM (Расчеты)'!$C$21/100 + 'PM (Расчеты)'!$C$25/100 + 
    'PM (Расчеты)'!$C$26/100
  ) + 1
)))
 * 8 * 60 * 60
</f>
        <v>0</v>
      </c>
      <c r="J330" s="252" t="str">
        <f>'Оценка'!B333</f>
        <v/>
      </c>
      <c r="K330" s="253" t="str">
        <f t="shared" si="6"/>
        <v/>
      </c>
      <c r="L330" s="253" t="str">
        <f t="shared" si="7"/>
        <v/>
      </c>
    </row>
    <row r="331">
      <c r="A331" s="247" t="str">
        <f>'Оценка'!C334</f>
        <v/>
      </c>
      <c r="B331" s="247" t="str">
        <f>'Оценка'!D334</f>
        <v/>
      </c>
      <c r="C331" s="249" t="str">
        <f t="shared" si="1"/>
        <v/>
      </c>
      <c r="D331" s="249" t="str">
        <f t="shared" si="2"/>
        <v/>
      </c>
      <c r="E331" s="249" t="str">
        <f t="shared" si="3"/>
        <v/>
      </c>
      <c r="F331" s="158" t="str">
        <f t="shared" si="4"/>
        <v/>
      </c>
      <c r="G331" s="247" t="str">
        <f>IF(A331&lt;&gt;"", 'Sales (Итоги оценки)'!$C$4, "")</f>
        <v/>
      </c>
      <c r="H331" s="249" t="str">
        <f t="shared" si="5"/>
        <v/>
      </c>
      <c r="I331" s="251"/>
      <c r="J331" s="252" t="str">
        <f>'Оценка'!B334</f>
        <v/>
      </c>
      <c r="K331" s="253" t="str">
        <f t="shared" si="6"/>
        <v/>
      </c>
      <c r="L331" s="253" t="str">
        <f t="shared" si="7"/>
        <v/>
      </c>
    </row>
    <row r="332">
      <c r="A332" s="247" t="str">
        <f>'Оценка'!C335</f>
        <v/>
      </c>
      <c r="B332" s="247" t="str">
        <f>'Оценка'!D335</f>
        <v/>
      </c>
      <c r="C332" s="249" t="str">
        <f t="shared" si="1"/>
        <v/>
      </c>
      <c r="D332" s="249" t="str">
        <f t="shared" si="2"/>
        <v/>
      </c>
      <c r="E332" s="249" t="str">
        <f t="shared" si="3"/>
        <v/>
      </c>
      <c r="F332" s="158" t="str">
        <f t="shared" si="4"/>
        <v/>
      </c>
      <c r="G332" s="247" t="str">
        <f>IF(A332&lt;&gt;"", 'Sales (Итоги оценки)'!$C$4, "")</f>
        <v/>
      </c>
      <c r="H332" s="249" t="str">
        <f t="shared" si="5"/>
        <v/>
      </c>
      <c r="I332" s="251"/>
      <c r="J332" s="252" t="str">
        <f>'Оценка'!B335</f>
        <v/>
      </c>
      <c r="K332" s="253" t="str">
        <f t="shared" si="6"/>
        <v/>
      </c>
      <c r="L332" s="253" t="str">
        <f t="shared" si="7"/>
        <v/>
      </c>
    </row>
    <row r="333">
      <c r="A333" s="247" t="str">
        <f>'Оценка'!C336</f>
        <v/>
      </c>
      <c r="B333" s="247" t="str">
        <f>'Оценка'!D336</f>
        <v/>
      </c>
      <c r="C333" s="249" t="str">
        <f t="shared" si="1"/>
        <v/>
      </c>
      <c r="D333" s="249" t="str">
        <f t="shared" si="2"/>
        <v/>
      </c>
      <c r="E333" s="249" t="str">
        <f t="shared" si="3"/>
        <v/>
      </c>
      <c r="F333" s="158" t="str">
        <f t="shared" si="4"/>
        <v/>
      </c>
      <c r="G333" s="247" t="str">
        <f>IF(A333&lt;&gt;"", 'Sales (Итоги оценки)'!$C$4, "")</f>
        <v/>
      </c>
      <c r="H333" s="249" t="str">
        <f t="shared" si="5"/>
        <v/>
      </c>
      <c r="I333" s="251"/>
      <c r="J333" s="252" t="str">
        <f>'Оценка'!B336</f>
        <v/>
      </c>
      <c r="K333" s="253" t="str">
        <f t="shared" si="6"/>
        <v/>
      </c>
      <c r="L333" s="253" t="str">
        <f t="shared" si="7"/>
        <v/>
      </c>
    </row>
    <row r="334">
      <c r="A334" s="247" t="str">
        <f>'Оценка'!C337</f>
        <v/>
      </c>
      <c r="B334" s="247" t="str">
        <f>'Оценка'!D337</f>
        <v/>
      </c>
      <c r="C334" s="249" t="str">
        <f t="shared" si="1"/>
        <v/>
      </c>
      <c r="D334" s="249" t="str">
        <f t="shared" si="2"/>
        <v/>
      </c>
      <c r="E334" s="249" t="str">
        <f t="shared" si="3"/>
        <v/>
      </c>
      <c r="F334" s="158" t="str">
        <f t="shared" si="4"/>
        <v/>
      </c>
      <c r="G334" s="247" t="str">
        <f>IF(A334&lt;&gt;"", 'Sales (Итоги оценки)'!$C$4, "")</f>
        <v/>
      </c>
      <c r="H334" s="249" t="str">
        <f t="shared" si="5"/>
        <v/>
      </c>
      <c r="I334" s="251"/>
      <c r="J334" s="252" t="str">
        <f>'Оценка'!B337</f>
        <v/>
      </c>
      <c r="K334" s="253" t="str">
        <f t="shared" si="6"/>
        <v/>
      </c>
      <c r="L334" s="253" t="str">
        <f t="shared" si="7"/>
        <v/>
      </c>
    </row>
    <row r="335">
      <c r="A335" s="247" t="str">
        <f>'Оценка'!C338</f>
        <v/>
      </c>
      <c r="B335" s="247" t="str">
        <f>'Оценка'!D338</f>
        <v/>
      </c>
      <c r="C335" s="249" t="str">
        <f t="shared" si="1"/>
        <v/>
      </c>
      <c r="D335" s="249" t="str">
        <f t="shared" si="2"/>
        <v/>
      </c>
      <c r="E335" s="249" t="str">
        <f t="shared" si="3"/>
        <v/>
      </c>
      <c r="F335" s="158" t="str">
        <f t="shared" si="4"/>
        <v/>
      </c>
      <c r="G335" s="247" t="str">
        <f>IF(A335&lt;&gt;"", 'Sales (Итоги оценки)'!$C$4, "")</f>
        <v/>
      </c>
      <c r="H335" s="249" t="str">
        <f t="shared" si="5"/>
        <v/>
      </c>
      <c r="I335" s="251"/>
      <c r="J335" s="252" t="str">
        <f>'Оценка'!B338</f>
        <v/>
      </c>
      <c r="K335" s="253" t="str">
        <f t="shared" si="6"/>
        <v/>
      </c>
      <c r="L335" s="253" t="str">
        <f t="shared" si="7"/>
        <v/>
      </c>
    </row>
    <row r="336">
      <c r="A336" s="247" t="str">
        <f>'Оценка'!C339</f>
        <v/>
      </c>
      <c r="B336" s="247" t="str">
        <f>'Оценка'!D339</f>
        <v/>
      </c>
      <c r="C336" s="249" t="str">
        <f t="shared" si="1"/>
        <v/>
      </c>
      <c r="D336" s="249" t="str">
        <f t="shared" si="2"/>
        <v/>
      </c>
      <c r="E336" s="249" t="str">
        <f t="shared" si="3"/>
        <v/>
      </c>
      <c r="F336" s="158" t="str">
        <f t="shared" si="4"/>
        <v/>
      </c>
      <c r="G336" s="247" t="str">
        <f>IF(A336&lt;&gt;"", 'Sales (Итоги оценки)'!$C$4, "")</f>
        <v/>
      </c>
      <c r="H336" s="249" t="str">
        <f t="shared" si="5"/>
        <v/>
      </c>
      <c r="I336" s="251"/>
      <c r="J336" s="252" t="str">
        <f>'Оценка'!B339</f>
        <v/>
      </c>
      <c r="K336" s="253" t="str">
        <f t="shared" si="6"/>
        <v/>
      </c>
      <c r="L336" s="253" t="str">
        <f t="shared" si="7"/>
        <v/>
      </c>
    </row>
    <row r="337">
      <c r="A337" s="247" t="str">
        <f>'Оценка'!C340</f>
        <v/>
      </c>
      <c r="B337" s="247" t="str">
        <f>'Оценка'!D340</f>
        <v/>
      </c>
      <c r="C337" s="249" t="str">
        <f t="shared" si="1"/>
        <v/>
      </c>
      <c r="D337" s="249" t="str">
        <f t="shared" si="2"/>
        <v/>
      </c>
      <c r="E337" s="249" t="str">
        <f t="shared" si="3"/>
        <v/>
      </c>
      <c r="F337" s="158" t="str">
        <f t="shared" si="4"/>
        <v/>
      </c>
      <c r="G337" s="247" t="str">
        <f>IF(A337&lt;&gt;"", 'Sales (Итоги оценки)'!$C$4, "")</f>
        <v/>
      </c>
      <c r="H337" s="249" t="str">
        <f t="shared" si="5"/>
        <v/>
      </c>
      <c r="I337" s="251"/>
      <c r="J337" s="252" t="str">
        <f>'Оценка'!B340</f>
        <v/>
      </c>
      <c r="K337" s="253" t="str">
        <f t="shared" si="6"/>
        <v/>
      </c>
      <c r="L337" s="253" t="str">
        <f t="shared" si="7"/>
        <v/>
      </c>
    </row>
    <row r="338">
      <c r="A338" s="247" t="str">
        <f>'Оценка'!C341</f>
        <v/>
      </c>
      <c r="B338" s="247" t="str">
        <f>'Оценка'!D341</f>
        <v/>
      </c>
      <c r="C338" s="249" t="str">
        <f t="shared" si="1"/>
        <v/>
      </c>
      <c r="D338" s="249" t="str">
        <f t="shared" si="2"/>
        <v/>
      </c>
      <c r="E338" s="249" t="str">
        <f t="shared" si="3"/>
        <v/>
      </c>
      <c r="F338" s="158" t="str">
        <f t="shared" si="4"/>
        <v/>
      </c>
      <c r="G338" s="247" t="str">
        <f>IF(A338&lt;&gt;"", 'Sales (Итоги оценки)'!$C$4, "")</f>
        <v/>
      </c>
      <c r="H338" s="249" t="str">
        <f t="shared" si="5"/>
        <v/>
      </c>
      <c r="I338" s="251"/>
      <c r="J338" s="252" t="str">
        <f>'Оценка'!B341</f>
        <v/>
      </c>
      <c r="K338" s="253" t="str">
        <f t="shared" si="6"/>
        <v/>
      </c>
      <c r="L338" s="253" t="str">
        <f t="shared" si="7"/>
        <v/>
      </c>
    </row>
    <row r="339">
      <c r="A339" s="247" t="str">
        <f>'Оценка'!C342</f>
        <v/>
      </c>
      <c r="B339" s="247" t="str">
        <f>'Оценка'!D342</f>
        <v/>
      </c>
      <c r="C339" s="249" t="str">
        <f t="shared" si="1"/>
        <v/>
      </c>
      <c r="D339" s="249" t="str">
        <f t="shared" si="2"/>
        <v/>
      </c>
      <c r="E339" s="249" t="str">
        <f t="shared" si="3"/>
        <v/>
      </c>
      <c r="F339" s="158" t="str">
        <f t="shared" si="4"/>
        <v/>
      </c>
      <c r="G339" s="247" t="str">
        <f>IF(A339&lt;&gt;"", 'Sales (Итоги оценки)'!$C$4, "")</f>
        <v/>
      </c>
      <c r="H339" s="249" t="str">
        <f t="shared" si="5"/>
        <v/>
      </c>
      <c r="I339" s="251"/>
      <c r="J339" s="252" t="str">
        <f>'Оценка'!B342</f>
        <v/>
      </c>
      <c r="K339" s="253" t="str">
        <f t="shared" si="6"/>
        <v/>
      </c>
      <c r="L339" s="253" t="str">
        <f t="shared" si="7"/>
        <v/>
      </c>
    </row>
    <row r="340">
      <c r="A340" s="247" t="str">
        <f>'Оценка'!C343</f>
        <v/>
      </c>
      <c r="B340" s="247" t="str">
        <f>'Оценка'!D343</f>
        <v/>
      </c>
      <c r="C340" s="249" t="str">
        <f t="shared" si="1"/>
        <v/>
      </c>
      <c r="D340" s="249" t="str">
        <f t="shared" si="2"/>
        <v/>
      </c>
      <c r="E340" s="249" t="str">
        <f t="shared" si="3"/>
        <v/>
      </c>
      <c r="F340" s="158" t="str">
        <f t="shared" si="4"/>
        <v/>
      </c>
      <c r="G340" s="247" t="str">
        <f>IF(A340&lt;&gt;"", 'Sales (Итоги оценки)'!$C$4, "")</f>
        <v/>
      </c>
      <c r="H340" s="249" t="str">
        <f t="shared" si="5"/>
        <v/>
      </c>
      <c r="I340" s="251"/>
      <c r="J340" s="252" t="str">
        <f>'Оценка'!B343</f>
        <v/>
      </c>
      <c r="K340" s="253" t="str">
        <f t="shared" si="6"/>
        <v/>
      </c>
      <c r="L340" s="253" t="str">
        <f t="shared" si="7"/>
        <v/>
      </c>
    </row>
    <row r="341">
      <c r="A341" s="247" t="str">
        <f>'Оценка'!C344</f>
        <v/>
      </c>
      <c r="B341" s="247" t="str">
        <f>'Оценка'!D344</f>
        <v/>
      </c>
      <c r="C341" s="249" t="str">
        <f t="shared" si="1"/>
        <v/>
      </c>
      <c r="D341" s="249" t="str">
        <f t="shared" si="2"/>
        <v/>
      </c>
      <c r="E341" s="249" t="str">
        <f t="shared" si="3"/>
        <v/>
      </c>
      <c r="F341" s="158" t="str">
        <f t="shared" si="4"/>
        <v/>
      </c>
      <c r="G341" s="247" t="str">
        <f>IF(A341&lt;&gt;"", 'Sales (Итоги оценки)'!$C$4, "")</f>
        <v/>
      </c>
      <c r="H341" s="249" t="str">
        <f t="shared" si="5"/>
        <v/>
      </c>
      <c r="I341" s="251"/>
      <c r="J341" s="252" t="str">
        <f>'Оценка'!B344</f>
        <v/>
      </c>
      <c r="K341" s="253" t="str">
        <f t="shared" si="6"/>
        <v/>
      </c>
      <c r="L341" s="253" t="str">
        <f t="shared" si="7"/>
        <v/>
      </c>
    </row>
    <row r="342">
      <c r="A342" s="247" t="str">
        <f>'Оценка'!C345</f>
        <v/>
      </c>
      <c r="B342" s="247" t="str">
        <f>'Оценка'!D345</f>
        <v/>
      </c>
      <c r="C342" s="249" t="str">
        <f t="shared" si="1"/>
        <v/>
      </c>
      <c r="D342" s="249" t="str">
        <f t="shared" si="2"/>
        <v/>
      </c>
      <c r="E342" s="249" t="str">
        <f t="shared" si="3"/>
        <v/>
      </c>
      <c r="F342" s="158" t="str">
        <f t="shared" si="4"/>
        <v/>
      </c>
      <c r="G342" s="247" t="str">
        <f>IF(A342&lt;&gt;"", 'Sales (Итоги оценки)'!$C$4, "")</f>
        <v/>
      </c>
      <c r="H342" s="249" t="str">
        <f t="shared" si="5"/>
        <v/>
      </c>
      <c r="I342" s="251"/>
      <c r="J342" s="252" t="str">
        <f>'Оценка'!B345</f>
        <v/>
      </c>
      <c r="K342" s="253" t="str">
        <f t="shared" si="6"/>
        <v/>
      </c>
      <c r="L342" s="253" t="str">
        <f t="shared" si="7"/>
        <v/>
      </c>
    </row>
    <row r="343">
      <c r="A343" s="247" t="str">
        <f>'Оценка'!C346</f>
        <v/>
      </c>
      <c r="B343" s="247" t="str">
        <f>'Оценка'!D346</f>
        <v/>
      </c>
      <c r="C343" s="249" t="str">
        <f t="shared" si="1"/>
        <v/>
      </c>
      <c r="D343" s="249" t="str">
        <f t="shared" si="2"/>
        <v/>
      </c>
      <c r="E343" s="249" t="str">
        <f t="shared" si="3"/>
        <v/>
      </c>
      <c r="F343" s="158" t="str">
        <f t="shared" si="4"/>
        <v/>
      </c>
      <c r="G343" s="247" t="str">
        <f>IF(A343&lt;&gt;"", 'Sales (Итоги оценки)'!$C$4, "")</f>
        <v/>
      </c>
      <c r="H343" s="249" t="str">
        <f t="shared" si="5"/>
        <v/>
      </c>
      <c r="I343" s="251"/>
      <c r="J343" s="252" t="str">
        <f>'Оценка'!B346</f>
        <v/>
      </c>
      <c r="K343" s="253" t="str">
        <f t="shared" si="6"/>
        <v/>
      </c>
      <c r="L343" s="253" t="str">
        <f t="shared" si="7"/>
        <v/>
      </c>
    </row>
    <row r="344">
      <c r="A344" s="247" t="str">
        <f>'Оценка'!C347</f>
        <v/>
      </c>
      <c r="B344" s="247" t="str">
        <f>'Оценка'!D347</f>
        <v/>
      </c>
      <c r="C344" s="249" t="str">
        <f t="shared" si="1"/>
        <v/>
      </c>
      <c r="D344" s="249" t="str">
        <f t="shared" si="2"/>
        <v/>
      </c>
      <c r="E344" s="249" t="str">
        <f t="shared" si="3"/>
        <v/>
      </c>
      <c r="F344" s="158" t="str">
        <f t="shared" si="4"/>
        <v/>
      </c>
      <c r="G344" s="247" t="str">
        <f>IF(A344&lt;&gt;"", 'Sales (Итоги оценки)'!$C$4, "")</f>
        <v/>
      </c>
      <c r="H344" s="249" t="str">
        <f t="shared" si="5"/>
        <v/>
      </c>
      <c r="I344" s="251"/>
      <c r="J344" s="252" t="str">
        <f>'Оценка'!B347</f>
        <v/>
      </c>
      <c r="K344" s="253" t="str">
        <f t="shared" si="6"/>
        <v/>
      </c>
      <c r="L344" s="253" t="str">
        <f t="shared" si="7"/>
        <v/>
      </c>
    </row>
    <row r="345">
      <c r="A345" s="247" t="str">
        <f>'Оценка'!C348</f>
        <v/>
      </c>
      <c r="B345" s="247" t="str">
        <f>'Оценка'!D348</f>
        <v/>
      </c>
      <c r="C345" s="249" t="str">
        <f t="shared" si="1"/>
        <v/>
      </c>
      <c r="D345" s="249" t="str">
        <f t="shared" si="2"/>
        <v/>
      </c>
      <c r="E345" s="249" t="str">
        <f t="shared" si="3"/>
        <v/>
      </c>
      <c r="F345" s="158" t="str">
        <f t="shared" si="4"/>
        <v/>
      </c>
      <c r="G345" s="247" t="str">
        <f>IF(A345&lt;&gt;"", 'Sales (Итоги оценки)'!$C$4, "")</f>
        <v/>
      </c>
      <c r="H345" s="249" t="str">
        <f t="shared" si="5"/>
        <v/>
      </c>
      <c r="I345" s="251"/>
      <c r="J345" s="252" t="str">
        <f>'Оценка'!B348</f>
        <v/>
      </c>
      <c r="K345" s="253" t="str">
        <f t="shared" si="6"/>
        <v/>
      </c>
      <c r="L345" s="253" t="str">
        <f t="shared" si="7"/>
        <v/>
      </c>
    </row>
    <row r="346">
      <c r="A346" s="247" t="str">
        <f>'Оценка'!C349</f>
        <v/>
      </c>
      <c r="B346" s="247" t="str">
        <f>'Оценка'!D349</f>
        <v/>
      </c>
      <c r="C346" s="249" t="str">
        <f t="shared" si="1"/>
        <v/>
      </c>
      <c r="D346" s="249" t="str">
        <f t="shared" si="2"/>
        <v/>
      </c>
      <c r="E346" s="249" t="str">
        <f t="shared" si="3"/>
        <v/>
      </c>
      <c r="F346" s="158" t="str">
        <f t="shared" si="4"/>
        <v/>
      </c>
      <c r="G346" s="247" t="str">
        <f>IF(A346&lt;&gt;"", 'Sales (Итоги оценки)'!$C$4, "")</f>
        <v/>
      </c>
      <c r="H346" s="249" t="str">
        <f t="shared" si="5"/>
        <v/>
      </c>
      <c r="I346" s="251"/>
      <c r="J346" s="252" t="str">
        <f>'Оценка'!B349</f>
        <v/>
      </c>
      <c r="L346" s="253" t="str">
        <f t="shared" si="7"/>
        <v/>
      </c>
    </row>
    <row r="347">
      <c r="A347" s="247" t="str">
        <f>'Оценка'!C350</f>
        <v/>
      </c>
      <c r="B347" s="247" t="str">
        <f>'Оценка'!D350</f>
        <v/>
      </c>
      <c r="C347" s="249" t="str">
        <f t="shared" si="1"/>
        <v/>
      </c>
      <c r="D347" s="249" t="str">
        <f t="shared" si="2"/>
        <v/>
      </c>
      <c r="E347" s="249" t="str">
        <f t="shared" si="3"/>
        <v/>
      </c>
      <c r="F347" s="158" t="str">
        <f t="shared" si="4"/>
        <v/>
      </c>
      <c r="G347" s="247" t="str">
        <f>IF(A347&lt;&gt;"", 'Sales (Итоги оценки)'!$C$4, "")</f>
        <v/>
      </c>
      <c r="H347" s="249" t="str">
        <f t="shared" si="5"/>
        <v/>
      </c>
      <c r="I347" s="251"/>
      <c r="J347" s="252" t="str">
        <f>'Оценка'!B350</f>
        <v/>
      </c>
      <c r="L347" s="253" t="str">
        <f t="shared" si="7"/>
        <v/>
      </c>
    </row>
    <row r="348">
      <c r="A348" s="247" t="str">
        <f>'Оценка'!C351</f>
        <v/>
      </c>
      <c r="B348" s="247" t="str">
        <f>'Оценка'!D351</f>
        <v/>
      </c>
      <c r="C348" s="249" t="str">
        <f t="shared" si="1"/>
        <v/>
      </c>
      <c r="D348" s="249" t="str">
        <f t="shared" si="2"/>
        <v/>
      </c>
      <c r="E348" s="249" t="str">
        <f t="shared" si="3"/>
        <v/>
      </c>
      <c r="F348" s="158" t="str">
        <f t="shared" si="4"/>
        <v/>
      </c>
      <c r="G348" s="247" t="str">
        <f>IF(A348&lt;&gt;"", 'Sales (Итоги оценки)'!$C$4, "")</f>
        <v/>
      </c>
      <c r="H348" s="249" t="str">
        <f t="shared" si="5"/>
        <v/>
      </c>
      <c r="I348" s="251"/>
      <c r="J348" s="252" t="str">
        <f>'Оценка'!B351</f>
        <v/>
      </c>
      <c r="L348" s="253" t="str">
        <f t="shared" si="7"/>
        <v/>
      </c>
    </row>
    <row r="349">
      <c r="A349" s="247" t="str">
        <f>'Оценка'!C352</f>
        <v/>
      </c>
      <c r="B349" s="247" t="str">
        <f>'Оценка'!D352</f>
        <v/>
      </c>
      <c r="C349" s="249" t="str">
        <f t="shared" si="1"/>
        <v/>
      </c>
      <c r="D349" s="249" t="str">
        <f t="shared" si="2"/>
        <v/>
      </c>
      <c r="E349" s="249" t="str">
        <f t="shared" si="3"/>
        <v/>
      </c>
      <c r="F349" s="158" t="str">
        <f t="shared" si="4"/>
        <v/>
      </c>
      <c r="G349" s="247" t="str">
        <f>IF(A349&lt;&gt;"", 'Sales (Итоги оценки)'!$C$4, "")</f>
        <v/>
      </c>
      <c r="H349" s="249" t="str">
        <f t="shared" si="5"/>
        <v/>
      </c>
      <c r="I349" s="251"/>
      <c r="J349" s="252" t="str">
        <f>'Оценка'!B352</f>
        <v/>
      </c>
      <c r="L349" s="253" t="str">
        <f t="shared" si="7"/>
        <v/>
      </c>
    </row>
    <row r="350">
      <c r="A350" s="247" t="str">
        <f>'Оценка'!C353</f>
        <v/>
      </c>
      <c r="B350" s="247" t="str">
        <f>'Оценка'!D353</f>
        <v/>
      </c>
      <c r="C350" s="249" t="str">
        <f t="shared" si="1"/>
        <v/>
      </c>
      <c r="D350" s="249" t="str">
        <f t="shared" si="2"/>
        <v/>
      </c>
      <c r="E350" s="249" t="str">
        <f t="shared" si="3"/>
        <v/>
      </c>
      <c r="F350" s="158" t="str">
        <f t="shared" si="4"/>
        <v/>
      </c>
      <c r="G350" s="247" t="str">
        <f>IF(A350&lt;&gt;"", 'Sales (Итоги оценки)'!$C$4, "")</f>
        <v/>
      </c>
      <c r="H350" s="249" t="str">
        <f t="shared" si="5"/>
        <v/>
      </c>
      <c r="I350" s="251"/>
      <c r="J350" s="252" t="str">
        <f>'Оценка'!B353</f>
        <v/>
      </c>
      <c r="L350" s="253" t="str">
        <f t="shared" si="7"/>
        <v/>
      </c>
    </row>
    <row r="351">
      <c r="A351" s="247" t="str">
        <f>'Оценка'!C354</f>
        <v/>
      </c>
      <c r="B351" s="247" t="str">
        <f>'Оценка'!D354</f>
        <v/>
      </c>
      <c r="C351" s="249" t="str">
        <f t="shared" si="1"/>
        <v/>
      </c>
      <c r="D351" s="249" t="str">
        <f t="shared" si="2"/>
        <v/>
      </c>
      <c r="E351" s="249" t="str">
        <f t="shared" si="3"/>
        <v/>
      </c>
      <c r="F351" s="158" t="str">
        <f t="shared" si="4"/>
        <v/>
      </c>
      <c r="G351" s="247" t="str">
        <f>IF(A351&lt;&gt;"", 'Sales (Итоги оценки)'!$C$4, "")</f>
        <v/>
      </c>
      <c r="H351" s="249" t="str">
        <f t="shared" si="5"/>
        <v/>
      </c>
      <c r="I351" s="251"/>
      <c r="J351" s="252" t="str">
        <f>'Оценка'!B354</f>
        <v/>
      </c>
      <c r="L351" s="253" t="str">
        <f t="shared" si="7"/>
        <v/>
      </c>
    </row>
    <row r="352">
      <c r="A352" s="247" t="str">
        <f>'Оценка'!C355</f>
        <v/>
      </c>
      <c r="B352" s="247" t="str">
        <f>'Оценка'!D355</f>
        <v/>
      </c>
      <c r="C352" s="249" t="str">
        <f t="shared" si="1"/>
        <v/>
      </c>
      <c r="D352" s="249" t="str">
        <f t="shared" si="2"/>
        <v/>
      </c>
      <c r="E352" s="249" t="str">
        <f t="shared" si="3"/>
        <v/>
      </c>
      <c r="F352" s="158" t="str">
        <f t="shared" si="4"/>
        <v/>
      </c>
      <c r="G352" s="247" t="str">
        <f>IF(A352&lt;&gt;"", 'Sales (Итоги оценки)'!$C$4, "")</f>
        <v/>
      </c>
      <c r="H352" s="249" t="str">
        <f t="shared" si="5"/>
        <v/>
      </c>
      <c r="I352" s="251"/>
      <c r="J352" s="252" t="str">
        <f>'Оценка'!B355</f>
        <v/>
      </c>
      <c r="L352" s="253" t="str">
        <f t="shared" si="7"/>
        <v/>
      </c>
    </row>
    <row r="353">
      <c r="A353" s="247" t="str">
        <f>'Оценка'!C356</f>
        <v/>
      </c>
      <c r="B353" s="247" t="str">
        <f>'Оценка'!D356</f>
        <v/>
      </c>
      <c r="C353" s="249" t="str">
        <f t="shared" si="1"/>
        <v/>
      </c>
      <c r="D353" s="249" t="str">
        <f t="shared" si="2"/>
        <v/>
      </c>
      <c r="E353" s="249" t="str">
        <f t="shared" si="3"/>
        <v/>
      </c>
      <c r="F353" s="158" t="str">
        <f t="shared" si="4"/>
        <v/>
      </c>
      <c r="G353" s="247" t="str">
        <f>IF(A353&lt;&gt;"", 'Sales (Итоги оценки)'!$C$4, "")</f>
        <v/>
      </c>
      <c r="H353" s="249" t="str">
        <f t="shared" si="5"/>
        <v/>
      </c>
      <c r="I353" s="251"/>
      <c r="J353" s="252" t="str">
        <f>'Оценка'!B356</f>
        <v/>
      </c>
      <c r="L353" s="253" t="str">
        <f t="shared" si="7"/>
        <v/>
      </c>
    </row>
    <row r="354">
      <c r="A354" s="247" t="str">
        <f>'Оценка'!C357</f>
        <v/>
      </c>
      <c r="B354" s="247" t="str">
        <f>'Оценка'!D357</f>
        <v/>
      </c>
      <c r="C354" s="249" t="str">
        <f t="shared" si="1"/>
        <v/>
      </c>
      <c r="D354" s="249" t="str">
        <f t="shared" si="2"/>
        <v/>
      </c>
      <c r="E354" s="249" t="str">
        <f t="shared" si="3"/>
        <v/>
      </c>
      <c r="F354" s="158" t="str">
        <f t="shared" si="4"/>
        <v/>
      </c>
      <c r="G354" s="247" t="str">
        <f>IF(A354&lt;&gt;"", 'Sales (Итоги оценки)'!$C$4, "")</f>
        <v/>
      </c>
      <c r="H354" s="249" t="str">
        <f t="shared" si="5"/>
        <v/>
      </c>
      <c r="I354" s="251"/>
      <c r="J354" s="252" t="str">
        <f>'Оценка'!B357</f>
        <v/>
      </c>
      <c r="L354" s="253" t="str">
        <f t="shared" si="7"/>
        <v/>
      </c>
    </row>
    <row r="355">
      <c r="A355" s="247" t="str">
        <f>'Оценка'!C358</f>
        <v/>
      </c>
      <c r="B355" s="247" t="str">
        <f>'Оценка'!D358</f>
        <v/>
      </c>
      <c r="C355" s="249" t="str">
        <f t="shared" si="1"/>
        <v/>
      </c>
      <c r="D355" s="249" t="str">
        <f t="shared" si="2"/>
        <v/>
      </c>
      <c r="E355" s="249" t="str">
        <f t="shared" si="3"/>
        <v/>
      </c>
      <c r="F355" s="158" t="str">
        <f t="shared" si="4"/>
        <v/>
      </c>
      <c r="G355" s="247" t="str">
        <f>IF(A355&lt;&gt;"", 'Sales (Итоги оценки)'!$C$4, "")</f>
        <v/>
      </c>
      <c r="H355" s="249" t="str">
        <f t="shared" si="5"/>
        <v/>
      </c>
      <c r="I355" s="251"/>
      <c r="J355" s="252" t="str">
        <f>'Оценка'!B358</f>
        <v/>
      </c>
      <c r="L355" s="253" t="str">
        <f t="shared" si="7"/>
        <v/>
      </c>
    </row>
    <row r="356">
      <c r="A356" s="247" t="str">
        <f>'Оценка'!C359</f>
        <v/>
      </c>
      <c r="B356" s="247" t="str">
        <f>'Оценка'!D359</f>
        <v/>
      </c>
      <c r="C356" s="249" t="str">
        <f t="shared" si="1"/>
        <v/>
      </c>
      <c r="D356" s="249" t="str">
        <f t="shared" si="2"/>
        <v/>
      </c>
      <c r="E356" s="249" t="str">
        <f t="shared" si="3"/>
        <v/>
      </c>
      <c r="F356" s="158" t="str">
        <f t="shared" si="4"/>
        <v/>
      </c>
      <c r="G356" s="247" t="str">
        <f>IF(A356&lt;&gt;"", 'Sales (Итоги оценки)'!$C$4, "")</f>
        <v/>
      </c>
      <c r="H356" s="249" t="str">
        <f t="shared" si="5"/>
        <v/>
      </c>
      <c r="I356" s="251"/>
      <c r="J356" s="252" t="str">
        <f>'Оценка'!B359</f>
        <v/>
      </c>
      <c r="L356" s="253" t="str">
        <f t="shared" si="7"/>
        <v/>
      </c>
    </row>
    <row r="357">
      <c r="A357" s="247" t="str">
        <f>'Оценка'!C360</f>
        <v/>
      </c>
      <c r="B357" s="247" t="str">
        <f>'Оценка'!D360</f>
        <v/>
      </c>
      <c r="C357" s="249" t="str">
        <f t="shared" si="1"/>
        <v/>
      </c>
      <c r="D357" s="249" t="str">
        <f t="shared" si="2"/>
        <v/>
      </c>
      <c r="E357" s="249" t="str">
        <f t="shared" si="3"/>
        <v/>
      </c>
      <c r="F357" s="158" t="str">
        <f t="shared" si="4"/>
        <v/>
      </c>
      <c r="G357" s="247" t="str">
        <f>IF(A357&lt;&gt;"", 'Sales (Итоги оценки)'!$C$4, "")</f>
        <v/>
      </c>
      <c r="H357" s="249" t="str">
        <f t="shared" si="5"/>
        <v/>
      </c>
      <c r="I357" s="251"/>
      <c r="J357" s="252" t="str">
        <f>'Оценка'!B360</f>
        <v/>
      </c>
      <c r="L357" s="253" t="str">
        <f t="shared" si="7"/>
        <v/>
      </c>
    </row>
    <row r="358">
      <c r="A358" s="247" t="str">
        <f>'Оценка'!C361</f>
        <v/>
      </c>
      <c r="B358" s="247" t="str">
        <f>'Оценка'!D361</f>
        <v/>
      </c>
      <c r="C358" s="249" t="str">
        <f t="shared" si="1"/>
        <v/>
      </c>
      <c r="D358" s="249" t="str">
        <f t="shared" si="2"/>
        <v/>
      </c>
      <c r="E358" s="249" t="str">
        <f t="shared" si="3"/>
        <v/>
      </c>
      <c r="F358" s="158" t="str">
        <f t="shared" si="4"/>
        <v/>
      </c>
      <c r="G358" s="247" t="str">
        <f>IF(A358&lt;&gt;"", 'Sales (Итоги оценки)'!$C$4, "")</f>
        <v/>
      </c>
      <c r="H358" s="249" t="str">
        <f t="shared" si="5"/>
        <v/>
      </c>
      <c r="I358" s="251"/>
      <c r="J358" s="252" t="str">
        <f>'Оценка'!B361</f>
        <v/>
      </c>
      <c r="L358" s="253" t="str">
        <f t="shared" si="7"/>
        <v/>
      </c>
    </row>
    <row r="359">
      <c r="A359" s="247" t="str">
        <f>'Оценка'!C362</f>
        <v/>
      </c>
      <c r="B359" s="247" t="str">
        <f>'Оценка'!D362</f>
        <v/>
      </c>
      <c r="C359" s="249" t="str">
        <f t="shared" si="1"/>
        <v/>
      </c>
      <c r="D359" s="249" t="str">
        <f t="shared" si="2"/>
        <v/>
      </c>
      <c r="E359" s="249" t="str">
        <f t="shared" si="3"/>
        <v/>
      </c>
      <c r="F359" s="158" t="str">
        <f t="shared" si="4"/>
        <v/>
      </c>
      <c r="G359" s="247" t="str">
        <f>IF(A359&lt;&gt;"", 'Sales (Итоги оценки)'!$C$4, "")</f>
        <v/>
      </c>
      <c r="H359" s="249" t="str">
        <f t="shared" si="5"/>
        <v/>
      </c>
      <c r="I359" s="251"/>
      <c r="J359" s="252" t="str">
        <f>'Оценка'!B362</f>
        <v/>
      </c>
      <c r="L359" s="253" t="str">
        <f t="shared" si="7"/>
        <v/>
      </c>
    </row>
    <row r="360">
      <c r="A360" s="247" t="str">
        <f>'Оценка'!C363</f>
        <v/>
      </c>
      <c r="B360" s="247" t="str">
        <f>'Оценка'!D363</f>
        <v/>
      </c>
      <c r="C360" s="249" t="str">
        <f t="shared" si="1"/>
        <v/>
      </c>
      <c r="D360" s="249" t="str">
        <f t="shared" si="2"/>
        <v/>
      </c>
      <c r="E360" s="249" t="str">
        <f t="shared" si="3"/>
        <v/>
      </c>
      <c r="F360" s="158" t="str">
        <f t="shared" si="4"/>
        <v/>
      </c>
      <c r="G360" s="247" t="str">
        <f>IF(A360&lt;&gt;"", 'Sales (Итоги оценки)'!$C$4, "")</f>
        <v/>
      </c>
      <c r="H360" s="249" t="str">
        <f t="shared" si="5"/>
        <v/>
      </c>
      <c r="I360" s="251"/>
      <c r="J360" s="252" t="str">
        <f>'Оценка'!B363</f>
        <v/>
      </c>
      <c r="L360" s="253" t="str">
        <f t="shared" si="7"/>
        <v/>
      </c>
    </row>
    <row r="361">
      <c r="A361" s="247" t="str">
        <f>'Оценка'!C364</f>
        <v/>
      </c>
      <c r="B361" s="247" t="str">
        <f>'Оценка'!D364</f>
        <v/>
      </c>
      <c r="C361" s="249" t="str">
        <f t="shared" si="1"/>
        <v/>
      </c>
      <c r="D361" s="249" t="str">
        <f t="shared" si="2"/>
        <v/>
      </c>
      <c r="E361" s="249" t="str">
        <f t="shared" si="3"/>
        <v/>
      </c>
      <c r="F361" s="158" t="str">
        <f t="shared" si="4"/>
        <v/>
      </c>
      <c r="G361" s="247" t="str">
        <f>IF(A361&lt;&gt;"", 'Sales (Итоги оценки)'!$C$4, "")</f>
        <v/>
      </c>
      <c r="H361" s="249" t="str">
        <f t="shared" si="5"/>
        <v/>
      </c>
      <c r="I361" s="251"/>
      <c r="J361" s="252" t="str">
        <f>'Оценка'!B364</f>
        <v/>
      </c>
      <c r="L361" s="253" t="str">
        <f t="shared" si="7"/>
        <v/>
      </c>
    </row>
    <row r="362">
      <c r="A362" s="247" t="str">
        <f>'Оценка'!C365</f>
        <v/>
      </c>
      <c r="B362" s="247" t="str">
        <f>'Оценка'!D365</f>
        <v/>
      </c>
      <c r="C362" s="249" t="str">
        <f t="shared" si="1"/>
        <v/>
      </c>
      <c r="D362" s="249" t="str">
        <f t="shared" si="2"/>
        <v/>
      </c>
      <c r="E362" s="249" t="str">
        <f t="shared" si="3"/>
        <v/>
      </c>
      <c r="F362" s="158" t="str">
        <f t="shared" si="4"/>
        <v/>
      </c>
      <c r="G362" s="247" t="str">
        <f>IF(A362&lt;&gt;"", 'Sales (Итоги оценки)'!$C$4, "")</f>
        <v/>
      </c>
      <c r="H362" s="249" t="str">
        <f t="shared" si="5"/>
        <v/>
      </c>
      <c r="I362" s="251"/>
      <c r="J362" s="252" t="str">
        <f>'Оценка'!B365</f>
        <v/>
      </c>
      <c r="L362" s="253" t="str">
        <f t="shared" si="7"/>
        <v/>
      </c>
    </row>
    <row r="363">
      <c r="A363" s="247" t="str">
        <f>'Оценка'!C366</f>
        <v/>
      </c>
      <c r="B363" s="247" t="str">
        <f>'Оценка'!D366</f>
        <v/>
      </c>
      <c r="C363" s="249" t="str">
        <f t="shared" si="1"/>
        <v/>
      </c>
      <c r="D363" s="249" t="str">
        <f t="shared" si="2"/>
        <v/>
      </c>
      <c r="E363" s="249" t="str">
        <f t="shared" si="3"/>
        <v/>
      </c>
      <c r="F363" s="158" t="str">
        <f t="shared" si="4"/>
        <v/>
      </c>
      <c r="G363" s="247" t="str">
        <f>IF(A363&lt;&gt;"", 'Sales (Итоги оценки)'!$C$4, "")</f>
        <v/>
      </c>
      <c r="H363" s="249" t="str">
        <f t="shared" si="5"/>
        <v/>
      </c>
      <c r="I363" s="251"/>
      <c r="J363" s="252" t="str">
        <f>'Оценка'!B366</f>
        <v/>
      </c>
      <c r="L363" s="253" t="str">
        <f t="shared" si="7"/>
        <v/>
      </c>
    </row>
    <row r="364">
      <c r="A364" s="247" t="str">
        <f>'Оценка'!C367</f>
        <v/>
      </c>
      <c r="B364" s="247" t="str">
        <f>'Оценка'!D367</f>
        <v/>
      </c>
      <c r="C364" s="249" t="str">
        <f t="shared" si="1"/>
        <v/>
      </c>
      <c r="D364" s="249" t="str">
        <f t="shared" si="2"/>
        <v/>
      </c>
      <c r="E364" s="249" t="str">
        <f t="shared" si="3"/>
        <v/>
      </c>
      <c r="F364" s="158" t="str">
        <f t="shared" si="4"/>
        <v/>
      </c>
      <c r="G364" s="247" t="str">
        <f>IF(A364&lt;&gt;"", 'Sales (Итоги оценки)'!$C$4, "")</f>
        <v/>
      </c>
      <c r="H364" s="249" t="str">
        <f t="shared" si="5"/>
        <v/>
      </c>
      <c r="I364" s="251"/>
      <c r="J364" s="252" t="str">
        <f>'Оценка'!B367</f>
        <v/>
      </c>
      <c r="L364" s="253" t="str">
        <f t="shared" si="7"/>
        <v/>
      </c>
    </row>
    <row r="365">
      <c r="A365" s="247" t="str">
        <f>'Оценка'!C368</f>
        <v/>
      </c>
      <c r="B365" s="247" t="str">
        <f>'Оценка'!D368</f>
        <v/>
      </c>
      <c r="C365" s="249" t="str">
        <f t="shared" si="1"/>
        <v/>
      </c>
      <c r="D365" s="249" t="str">
        <f t="shared" si="2"/>
        <v/>
      </c>
      <c r="E365" s="249" t="str">
        <f t="shared" si="3"/>
        <v/>
      </c>
      <c r="F365" s="158" t="str">
        <f t="shared" si="4"/>
        <v/>
      </c>
      <c r="G365" s="247" t="str">
        <f>IF(A365&lt;&gt;"", 'Sales (Итоги оценки)'!$C$4, "")</f>
        <v/>
      </c>
      <c r="H365" s="249" t="str">
        <f t="shared" si="5"/>
        <v/>
      </c>
      <c r="I365" s="251"/>
      <c r="J365" s="252" t="str">
        <f>'Оценка'!B368</f>
        <v/>
      </c>
      <c r="L365" s="253" t="str">
        <f t="shared" si="7"/>
        <v/>
      </c>
    </row>
    <row r="366">
      <c r="A366" s="247" t="str">
        <f>'Оценка'!C369</f>
        <v/>
      </c>
      <c r="B366" s="247" t="str">
        <f>'Оценка'!D369</f>
        <v/>
      </c>
      <c r="C366" s="249" t="str">
        <f t="shared" si="1"/>
        <v/>
      </c>
      <c r="D366" s="249" t="str">
        <f t="shared" si="2"/>
        <v/>
      </c>
      <c r="E366" s="249" t="str">
        <f t="shared" si="3"/>
        <v/>
      </c>
      <c r="F366" s="158" t="str">
        <f t="shared" si="4"/>
        <v/>
      </c>
      <c r="G366" s="247" t="str">
        <f>IF(A366&lt;&gt;"", 'Sales (Итоги оценки)'!$C$4, "")</f>
        <v/>
      </c>
      <c r="H366" s="249" t="str">
        <f t="shared" si="5"/>
        <v/>
      </c>
      <c r="I366" s="251"/>
      <c r="J366" s="252" t="str">
        <f>'Оценка'!B369</f>
        <v/>
      </c>
      <c r="L366" s="253" t="str">
        <f t="shared" si="7"/>
        <v/>
      </c>
    </row>
    <row r="367">
      <c r="A367" s="247" t="str">
        <f>'Оценка'!C370</f>
        <v/>
      </c>
      <c r="B367" s="247" t="str">
        <f>'Оценка'!D370</f>
        <v/>
      </c>
      <c r="C367" s="249" t="str">
        <f t="shared" si="1"/>
        <v/>
      </c>
      <c r="D367" s="249" t="str">
        <f t="shared" si="2"/>
        <v/>
      </c>
      <c r="E367" s="249" t="str">
        <f t="shared" si="3"/>
        <v/>
      </c>
      <c r="F367" s="158" t="str">
        <f t="shared" si="4"/>
        <v/>
      </c>
      <c r="G367" s="247" t="str">
        <f>IF(A367&lt;&gt;"", 'Sales (Итоги оценки)'!$C$4, "")</f>
        <v/>
      </c>
      <c r="H367" s="249" t="str">
        <f t="shared" si="5"/>
        <v/>
      </c>
      <c r="I367" s="251"/>
      <c r="J367" s="252" t="str">
        <f>'Оценка'!B370</f>
        <v/>
      </c>
      <c r="L367" s="253" t="str">
        <f t="shared" si="7"/>
        <v/>
      </c>
    </row>
    <row r="368">
      <c r="A368" s="247" t="str">
        <f>'Оценка'!C371</f>
        <v/>
      </c>
      <c r="B368" s="247" t="str">
        <f>'Оценка'!D371</f>
        <v/>
      </c>
      <c r="C368" s="249" t="str">
        <f t="shared" si="1"/>
        <v/>
      </c>
      <c r="D368" s="249" t="str">
        <f t="shared" si="2"/>
        <v/>
      </c>
      <c r="E368" s="249" t="str">
        <f t="shared" si="3"/>
        <v/>
      </c>
      <c r="F368" s="158" t="str">
        <f t="shared" si="4"/>
        <v/>
      </c>
      <c r="G368" s="247" t="str">
        <f>IF(A368&lt;&gt;"", 'Sales (Итоги оценки)'!$C$4, "")</f>
        <v/>
      </c>
      <c r="H368" s="249" t="str">
        <f t="shared" si="5"/>
        <v/>
      </c>
      <c r="I368" s="251"/>
      <c r="J368" s="252" t="str">
        <f>'Оценка'!B371</f>
        <v/>
      </c>
      <c r="L368" s="253" t="str">
        <f t="shared" si="7"/>
        <v/>
      </c>
    </row>
    <row r="369">
      <c r="A369" s="247" t="str">
        <f>'Оценка'!C372</f>
        <v/>
      </c>
      <c r="B369" s="247" t="str">
        <f>'Оценка'!D372</f>
        <v/>
      </c>
      <c r="C369" s="249" t="str">
        <f t="shared" si="1"/>
        <v/>
      </c>
      <c r="D369" s="249" t="str">
        <f t="shared" si="2"/>
        <v/>
      </c>
      <c r="E369" s="249" t="str">
        <f t="shared" si="3"/>
        <v/>
      </c>
      <c r="F369" s="158" t="str">
        <f t="shared" si="4"/>
        <v/>
      </c>
      <c r="G369" s="247" t="str">
        <f>IF(A369&lt;&gt;"", 'Sales (Итоги оценки)'!$C$4, "")</f>
        <v/>
      </c>
      <c r="H369" s="249" t="str">
        <f t="shared" si="5"/>
        <v/>
      </c>
      <c r="I369" s="251"/>
      <c r="J369" s="252" t="str">
        <f>'Оценка'!B372</f>
        <v/>
      </c>
      <c r="L369" s="253" t="str">
        <f t="shared" si="7"/>
        <v/>
      </c>
    </row>
    <row r="370">
      <c r="A370" s="247" t="str">
        <f>'Оценка'!C373</f>
        <v/>
      </c>
      <c r="B370" s="247" t="str">
        <f>'Оценка'!D373</f>
        <v/>
      </c>
      <c r="C370" s="249" t="str">
        <f t="shared" si="1"/>
        <v/>
      </c>
      <c r="D370" s="249" t="str">
        <f t="shared" si="2"/>
        <v/>
      </c>
      <c r="E370" s="249" t="str">
        <f t="shared" si="3"/>
        <v/>
      </c>
      <c r="F370" s="158" t="str">
        <f t="shared" si="4"/>
        <v/>
      </c>
      <c r="G370" s="247" t="str">
        <f>IF(A370&lt;&gt;"", 'Sales (Итоги оценки)'!$C$4, "")</f>
        <v/>
      </c>
      <c r="H370" s="249" t="str">
        <f t="shared" si="5"/>
        <v/>
      </c>
      <c r="I370" s="251"/>
      <c r="J370" s="252" t="str">
        <f>'Оценка'!B373</f>
        <v/>
      </c>
      <c r="L370" s="253" t="str">
        <f t="shared" si="7"/>
        <v/>
      </c>
    </row>
    <row r="371">
      <c r="A371" s="247" t="str">
        <f>'Оценка'!C374</f>
        <v/>
      </c>
      <c r="B371" s="247" t="str">
        <f>'Оценка'!D374</f>
        <v/>
      </c>
      <c r="C371" s="249" t="str">
        <f t="shared" si="1"/>
        <v/>
      </c>
      <c r="D371" s="249" t="str">
        <f t="shared" si="2"/>
        <v/>
      </c>
      <c r="E371" s="249" t="str">
        <f t="shared" si="3"/>
        <v/>
      </c>
      <c r="F371" s="158" t="str">
        <f t="shared" si="4"/>
        <v/>
      </c>
      <c r="G371" s="247" t="str">
        <f>IF(A371&lt;&gt;"", 'Sales (Итоги оценки)'!$C$4, "")</f>
        <v/>
      </c>
      <c r="H371" s="249" t="str">
        <f t="shared" si="5"/>
        <v/>
      </c>
      <c r="I371" s="251"/>
      <c r="J371" s="252" t="str">
        <f>'Оценка'!B374</f>
        <v/>
      </c>
      <c r="L371" s="253" t="str">
        <f t="shared" si="7"/>
        <v/>
      </c>
    </row>
    <row r="372">
      <c r="A372" s="247" t="str">
        <f>'Оценка'!C375</f>
        <v/>
      </c>
      <c r="B372" s="247" t="str">
        <f>'Оценка'!D375</f>
        <v/>
      </c>
      <c r="C372" s="249" t="str">
        <f t="shared" si="1"/>
        <v/>
      </c>
      <c r="D372" s="249" t="str">
        <f t="shared" si="2"/>
        <v/>
      </c>
      <c r="E372" s="249" t="str">
        <f t="shared" si="3"/>
        <v/>
      </c>
      <c r="F372" s="158" t="str">
        <f t="shared" si="4"/>
        <v/>
      </c>
      <c r="G372" s="247" t="str">
        <f>IF(A372&lt;&gt;"", 'Sales (Итоги оценки)'!$C$4, "")</f>
        <v/>
      </c>
      <c r="H372" s="249" t="str">
        <f t="shared" si="5"/>
        <v/>
      </c>
      <c r="I372" s="251"/>
      <c r="J372" s="252" t="str">
        <f>'Оценка'!B375</f>
        <v/>
      </c>
      <c r="L372" s="253" t="str">
        <f t="shared" si="7"/>
        <v/>
      </c>
    </row>
    <row r="373">
      <c r="A373" s="247" t="str">
        <f>'Оценка'!C376</f>
        <v/>
      </c>
      <c r="B373" s="247" t="str">
        <f>'Оценка'!D376</f>
        <v/>
      </c>
      <c r="C373" s="249" t="str">
        <f t="shared" si="1"/>
        <v/>
      </c>
      <c r="D373" s="249" t="str">
        <f t="shared" si="2"/>
        <v/>
      </c>
      <c r="E373" s="249" t="str">
        <f t="shared" si="3"/>
        <v/>
      </c>
      <c r="F373" s="158" t="str">
        <f t="shared" si="4"/>
        <v/>
      </c>
      <c r="G373" s="247" t="str">
        <f>IF(A373&lt;&gt;"", 'Sales (Итоги оценки)'!$C$4, "")</f>
        <v/>
      </c>
      <c r="H373" s="249" t="str">
        <f t="shared" si="5"/>
        <v/>
      </c>
      <c r="I373" s="251"/>
      <c r="J373" s="252" t="str">
        <f>'Оценка'!B376</f>
        <v/>
      </c>
      <c r="L373" s="253" t="str">
        <f t="shared" si="7"/>
        <v/>
      </c>
    </row>
    <row r="374">
      <c r="A374" s="247" t="str">
        <f>'Оценка'!C377</f>
        <v/>
      </c>
      <c r="B374" s="247" t="str">
        <f>'Оценка'!D377</f>
        <v/>
      </c>
      <c r="C374" s="249" t="str">
        <f t="shared" si="1"/>
        <v/>
      </c>
      <c r="D374" s="249" t="str">
        <f t="shared" si="2"/>
        <v/>
      </c>
      <c r="E374" s="249" t="str">
        <f t="shared" si="3"/>
        <v/>
      </c>
      <c r="F374" s="158" t="str">
        <f t="shared" si="4"/>
        <v/>
      </c>
      <c r="G374" s="247" t="str">
        <f>IF(A374&lt;&gt;"", 'Sales (Итоги оценки)'!$C$4, "")</f>
        <v/>
      </c>
      <c r="H374" s="249" t="str">
        <f t="shared" si="5"/>
        <v/>
      </c>
      <c r="I374" s="251"/>
      <c r="J374" s="252" t="str">
        <f>'Оценка'!B377</f>
        <v/>
      </c>
      <c r="L374" s="253" t="str">
        <f t="shared" si="7"/>
        <v/>
      </c>
    </row>
    <row r="375">
      <c r="A375" s="247" t="str">
        <f>'Оценка'!C378</f>
        <v/>
      </c>
      <c r="B375" s="247" t="str">
        <f>'Оценка'!D378</f>
        <v/>
      </c>
      <c r="C375" s="249" t="str">
        <f t="shared" si="1"/>
        <v/>
      </c>
      <c r="D375" s="249" t="str">
        <f t="shared" si="2"/>
        <v/>
      </c>
      <c r="E375" s="249" t="str">
        <f t="shared" si="3"/>
        <v/>
      </c>
      <c r="F375" s="158" t="str">
        <f t="shared" si="4"/>
        <v/>
      </c>
      <c r="G375" s="247" t="str">
        <f>IF(A375&lt;&gt;"", 'Sales (Итоги оценки)'!$C$4, "")</f>
        <v/>
      </c>
      <c r="H375" s="249" t="str">
        <f t="shared" si="5"/>
        <v/>
      </c>
      <c r="I375" s="251"/>
      <c r="J375" s="252" t="str">
        <f>'Оценка'!B378</f>
        <v/>
      </c>
      <c r="L375" s="253" t="str">
        <f t="shared" si="7"/>
        <v/>
      </c>
    </row>
    <row r="376">
      <c r="A376" s="247" t="str">
        <f>'Оценка'!C379</f>
        <v/>
      </c>
      <c r="B376" s="247" t="str">
        <f>'Оценка'!D379</f>
        <v/>
      </c>
      <c r="C376" s="249" t="str">
        <f t="shared" si="1"/>
        <v/>
      </c>
      <c r="D376" s="249" t="str">
        <f t="shared" si="2"/>
        <v/>
      </c>
      <c r="E376" s="249" t="str">
        <f t="shared" si="3"/>
        <v/>
      </c>
      <c r="F376" s="158" t="str">
        <f t="shared" si="4"/>
        <v/>
      </c>
      <c r="G376" s="247" t="str">
        <f>IF(A376&lt;&gt;"", 'Sales (Итоги оценки)'!$C$4, "")</f>
        <v/>
      </c>
      <c r="H376" s="249" t="str">
        <f t="shared" si="5"/>
        <v/>
      </c>
      <c r="I376" s="251"/>
      <c r="J376" s="252" t="str">
        <f>'Оценка'!B379</f>
        <v/>
      </c>
      <c r="L376" s="253" t="str">
        <f t="shared" si="7"/>
        <v/>
      </c>
    </row>
    <row r="377">
      <c r="A377" s="247" t="str">
        <f>'Оценка'!C380</f>
        <v/>
      </c>
      <c r="B377" s="247" t="str">
        <f>'Оценка'!D380</f>
        <v/>
      </c>
      <c r="C377" s="249" t="str">
        <f t="shared" si="1"/>
        <v/>
      </c>
      <c r="D377" s="249" t="str">
        <f t="shared" si="2"/>
        <v/>
      </c>
      <c r="E377" s="249" t="str">
        <f t="shared" si="3"/>
        <v/>
      </c>
      <c r="F377" s="158" t="str">
        <f t="shared" si="4"/>
        <v/>
      </c>
      <c r="G377" s="247" t="str">
        <f>IF(A377&lt;&gt;"", 'Sales (Итоги оценки)'!$C$4, "")</f>
        <v/>
      </c>
      <c r="H377" s="249" t="str">
        <f t="shared" si="5"/>
        <v/>
      </c>
      <c r="I377" s="251"/>
      <c r="J377" s="252" t="str">
        <f>'Оценка'!B380</f>
        <v/>
      </c>
      <c r="L377" s="253" t="str">
        <f t="shared" si="7"/>
        <v/>
      </c>
    </row>
    <row r="378">
      <c r="A378" s="247" t="str">
        <f>'Оценка'!C381</f>
        <v/>
      </c>
      <c r="B378" s="247" t="str">
        <f>'Оценка'!D381</f>
        <v/>
      </c>
      <c r="C378" s="249" t="str">
        <f t="shared" si="1"/>
        <v/>
      </c>
      <c r="D378" s="249" t="str">
        <f t="shared" si="2"/>
        <v/>
      </c>
      <c r="E378" s="249" t="str">
        <f t="shared" si="3"/>
        <v/>
      </c>
      <c r="F378" s="158" t="str">
        <f t="shared" si="4"/>
        <v/>
      </c>
      <c r="G378" s="247" t="str">
        <f>IF(A378&lt;&gt;"", 'Sales (Итоги оценки)'!$C$4, "")</f>
        <v/>
      </c>
      <c r="H378" s="249" t="str">
        <f t="shared" si="5"/>
        <v/>
      </c>
      <c r="I378" s="251"/>
      <c r="J378" s="252" t="str">
        <f>'Оценка'!B381</f>
        <v/>
      </c>
      <c r="L378" s="253" t="str">
        <f t="shared" si="7"/>
        <v/>
      </c>
    </row>
    <row r="379">
      <c r="A379" s="247" t="str">
        <f>'Оценка'!C382</f>
        <v/>
      </c>
      <c r="B379" s="247" t="str">
        <f>'Оценка'!D382</f>
        <v/>
      </c>
      <c r="C379" s="249" t="str">
        <f t="shared" si="1"/>
        <v/>
      </c>
      <c r="D379" s="249" t="str">
        <f t="shared" si="2"/>
        <v/>
      </c>
      <c r="E379" s="249" t="str">
        <f t="shared" si="3"/>
        <v/>
      </c>
      <c r="F379" s="158" t="str">
        <f t="shared" si="4"/>
        <v/>
      </c>
      <c r="G379" s="247" t="str">
        <f>IF(A379&lt;&gt;"", 'Sales (Итоги оценки)'!$C$4, "")</f>
        <v/>
      </c>
      <c r="H379" s="249" t="str">
        <f t="shared" si="5"/>
        <v/>
      </c>
      <c r="I379" s="251"/>
      <c r="J379" s="252" t="str">
        <f>'Оценка'!B382</f>
        <v/>
      </c>
      <c r="L379" s="253" t="str">
        <f t="shared" si="7"/>
        <v/>
      </c>
    </row>
    <row r="380">
      <c r="A380" s="247" t="str">
        <f>'Оценка'!C383</f>
        <v/>
      </c>
      <c r="B380" s="247" t="str">
        <f>'Оценка'!D383</f>
        <v/>
      </c>
      <c r="C380" s="249" t="str">
        <f t="shared" si="1"/>
        <v/>
      </c>
      <c r="D380" s="249" t="str">
        <f t="shared" si="2"/>
        <v/>
      </c>
      <c r="E380" s="249" t="str">
        <f t="shared" si="3"/>
        <v/>
      </c>
      <c r="F380" s="158" t="str">
        <f t="shared" si="4"/>
        <v/>
      </c>
      <c r="G380" s="247" t="str">
        <f>IF(A380&lt;&gt;"", 'Sales (Итоги оценки)'!$C$4, "")</f>
        <v/>
      </c>
      <c r="H380" s="249" t="str">
        <f t="shared" si="5"/>
        <v/>
      </c>
      <c r="I380" s="251"/>
      <c r="J380" s="252" t="str">
        <f>'Оценка'!B383</f>
        <v/>
      </c>
      <c r="L380" s="253" t="str">
        <f t="shared" si="7"/>
        <v/>
      </c>
    </row>
    <row r="381">
      <c r="A381" s="247" t="str">
        <f>'Оценка'!C384</f>
        <v/>
      </c>
      <c r="B381" s="247" t="str">
        <f>'Оценка'!D384</f>
        <v/>
      </c>
      <c r="C381" s="249" t="str">
        <f t="shared" si="1"/>
        <v/>
      </c>
      <c r="D381" s="249" t="str">
        <f t="shared" si="2"/>
        <v/>
      </c>
      <c r="E381" s="249" t="str">
        <f t="shared" si="3"/>
        <v/>
      </c>
      <c r="F381" s="158" t="str">
        <f t="shared" si="4"/>
        <v/>
      </c>
      <c r="G381" s="247" t="str">
        <f>IF(A381&lt;&gt;"", 'Sales (Итоги оценки)'!$C$4, "")</f>
        <v/>
      </c>
      <c r="H381" s="249" t="str">
        <f t="shared" si="5"/>
        <v/>
      </c>
      <c r="I381" s="251"/>
      <c r="J381" s="252" t="str">
        <f>'Оценка'!B384</f>
        <v/>
      </c>
      <c r="L381" s="253" t="str">
        <f t="shared" si="7"/>
        <v/>
      </c>
    </row>
    <row r="382">
      <c r="A382" s="247" t="str">
        <f>'Оценка'!C385</f>
        <v/>
      </c>
      <c r="B382" s="247" t="str">
        <f>'Оценка'!D385</f>
        <v/>
      </c>
      <c r="C382" s="249" t="str">
        <f t="shared" si="1"/>
        <v/>
      </c>
      <c r="D382" s="249" t="str">
        <f t="shared" si="2"/>
        <v/>
      </c>
      <c r="E382" s="249" t="str">
        <f t="shared" si="3"/>
        <v/>
      </c>
      <c r="F382" s="158" t="str">
        <f t="shared" si="4"/>
        <v/>
      </c>
      <c r="G382" s="247" t="str">
        <f>IF(A382&lt;&gt;"", 'Sales (Итоги оценки)'!$C$4, "")</f>
        <v/>
      </c>
      <c r="H382" s="249" t="str">
        <f t="shared" si="5"/>
        <v/>
      </c>
      <c r="I382" s="251"/>
      <c r="J382" s="252" t="str">
        <f>'Оценка'!B385</f>
        <v/>
      </c>
      <c r="L382" s="253" t="str">
        <f t="shared" si="7"/>
        <v/>
      </c>
    </row>
    <row r="383">
      <c r="A383" s="247" t="str">
        <f>'Оценка'!C386</f>
        <v/>
      </c>
      <c r="B383" s="247" t="str">
        <f>'Оценка'!D386</f>
        <v/>
      </c>
      <c r="C383" s="249" t="str">
        <f t="shared" si="1"/>
        <v/>
      </c>
      <c r="D383" s="249" t="str">
        <f t="shared" si="2"/>
        <v/>
      </c>
      <c r="E383" s="249" t="str">
        <f t="shared" si="3"/>
        <v/>
      </c>
      <c r="F383" s="158" t="str">
        <f t="shared" si="4"/>
        <v/>
      </c>
      <c r="G383" s="247" t="str">
        <f>IF(A383&lt;&gt;"", 'Sales (Итоги оценки)'!$C$4, "")</f>
        <v/>
      </c>
      <c r="H383" s="249" t="str">
        <f t="shared" si="5"/>
        <v/>
      </c>
      <c r="I383" s="251"/>
      <c r="J383" s="252" t="str">
        <f>'Оценка'!B386</f>
        <v/>
      </c>
      <c r="L383" s="253" t="str">
        <f t="shared" si="7"/>
        <v/>
      </c>
    </row>
    <row r="384">
      <c r="A384" s="247" t="str">
        <f>'Оценка'!C387</f>
        <v/>
      </c>
      <c r="B384" s="247" t="str">
        <f>'Оценка'!D387</f>
        <v/>
      </c>
      <c r="C384" s="249" t="str">
        <f t="shared" si="1"/>
        <v/>
      </c>
      <c r="D384" s="249" t="str">
        <f t="shared" si="2"/>
        <v/>
      </c>
      <c r="E384" s="249" t="str">
        <f t="shared" si="3"/>
        <v/>
      </c>
      <c r="F384" s="158" t="str">
        <f t="shared" si="4"/>
        <v/>
      </c>
      <c r="G384" s="247" t="str">
        <f>IF(A384&lt;&gt;"", 'Sales (Итоги оценки)'!$C$4, "")</f>
        <v/>
      </c>
      <c r="H384" s="249" t="str">
        <f t="shared" si="5"/>
        <v/>
      </c>
      <c r="I384" s="251"/>
      <c r="J384" s="252" t="str">
        <f>'Оценка'!B387</f>
        <v/>
      </c>
      <c r="L384" s="253" t="str">
        <f t="shared" si="7"/>
        <v/>
      </c>
    </row>
    <row r="385">
      <c r="A385" s="247" t="str">
        <f>'Оценка'!C388</f>
        <v/>
      </c>
      <c r="B385" s="247" t="str">
        <f>'Оценка'!D388</f>
        <v/>
      </c>
      <c r="C385" s="249" t="str">
        <f t="shared" si="1"/>
        <v/>
      </c>
      <c r="D385" s="249" t="str">
        <f t="shared" si="2"/>
        <v/>
      </c>
      <c r="E385" s="249" t="str">
        <f t="shared" si="3"/>
        <v/>
      </c>
      <c r="F385" s="158" t="str">
        <f t="shared" si="4"/>
        <v/>
      </c>
      <c r="G385" s="247" t="str">
        <f>IF(A385&lt;&gt;"", 'Sales (Итоги оценки)'!$C$4, "")</f>
        <v/>
      </c>
      <c r="H385" s="249" t="str">
        <f t="shared" si="5"/>
        <v/>
      </c>
      <c r="I385" s="251"/>
      <c r="J385" s="252" t="str">
        <f>'Оценка'!B388</f>
        <v/>
      </c>
      <c r="L385" s="253" t="str">
        <f t="shared" si="7"/>
        <v/>
      </c>
    </row>
    <row r="386">
      <c r="A386" s="247" t="str">
        <f>'Оценка'!C389</f>
        <v/>
      </c>
      <c r="B386" s="247" t="str">
        <f>'Оценка'!D389</f>
        <v/>
      </c>
      <c r="C386" s="249" t="str">
        <f t="shared" si="1"/>
        <v/>
      </c>
      <c r="D386" s="249" t="str">
        <f t="shared" si="2"/>
        <v/>
      </c>
      <c r="E386" s="249" t="str">
        <f t="shared" si="3"/>
        <v/>
      </c>
      <c r="F386" s="158" t="str">
        <f t="shared" si="4"/>
        <v/>
      </c>
      <c r="G386" s="247" t="str">
        <f>IF(A386&lt;&gt;"", 'Sales (Итоги оценки)'!$C$4, "")</f>
        <v/>
      </c>
      <c r="H386" s="249" t="str">
        <f t="shared" si="5"/>
        <v/>
      </c>
      <c r="I386" s="251"/>
      <c r="J386" s="252" t="str">
        <f>'Оценка'!B389</f>
        <v/>
      </c>
      <c r="L386" s="253" t="str">
        <f t="shared" si="7"/>
        <v/>
      </c>
    </row>
    <row r="387">
      <c r="A387" s="247" t="str">
        <f>'Оценка'!C390</f>
        <v/>
      </c>
      <c r="B387" s="247" t="str">
        <f>'Оценка'!D390</f>
        <v/>
      </c>
      <c r="C387" s="249" t="str">
        <f t="shared" si="1"/>
        <v/>
      </c>
      <c r="D387" s="249" t="str">
        <f t="shared" si="2"/>
        <v/>
      </c>
      <c r="E387" s="249" t="str">
        <f t="shared" si="3"/>
        <v/>
      </c>
      <c r="F387" s="158" t="str">
        <f t="shared" si="4"/>
        <v/>
      </c>
      <c r="G387" s="247" t="str">
        <f>IF(A387&lt;&gt;"", 'Sales (Итоги оценки)'!$C$4, "")</f>
        <v/>
      </c>
      <c r="H387" s="249" t="str">
        <f t="shared" si="5"/>
        <v/>
      </c>
      <c r="I387" s="251"/>
      <c r="J387" s="252" t="str">
        <f>'Оценка'!B390</f>
        <v/>
      </c>
      <c r="L387" s="253" t="str">
        <f t="shared" si="7"/>
        <v/>
      </c>
    </row>
    <row r="388">
      <c r="A388" s="247" t="str">
        <f>'Оценка'!C391</f>
        <v/>
      </c>
      <c r="B388" s="247" t="str">
        <f>'Оценка'!D391</f>
        <v/>
      </c>
      <c r="C388" s="249" t="str">
        <f t="shared" si="1"/>
        <v/>
      </c>
      <c r="D388" s="249" t="str">
        <f t="shared" si="2"/>
        <v/>
      </c>
      <c r="E388" s="249" t="str">
        <f t="shared" si="3"/>
        <v/>
      </c>
      <c r="F388" s="158" t="str">
        <f t="shared" si="4"/>
        <v/>
      </c>
      <c r="G388" s="247" t="str">
        <f>IF(A388&lt;&gt;"", 'Sales (Итоги оценки)'!$C$4, "")</f>
        <v/>
      </c>
      <c r="H388" s="249" t="str">
        <f t="shared" si="5"/>
        <v/>
      </c>
      <c r="I388" s="251"/>
      <c r="J388" s="252" t="str">
        <f>'Оценка'!B391</f>
        <v/>
      </c>
      <c r="L388" s="253" t="str">
        <f t="shared" si="7"/>
        <v/>
      </c>
    </row>
    <row r="389">
      <c r="A389" s="247" t="str">
        <f>'Оценка'!C392</f>
        <v/>
      </c>
      <c r="B389" s="247" t="str">
        <f>'Оценка'!D392</f>
        <v/>
      </c>
      <c r="C389" s="249" t="str">
        <f t="shared" si="1"/>
        <v/>
      </c>
      <c r="D389" s="249" t="str">
        <f t="shared" si="2"/>
        <v/>
      </c>
      <c r="E389" s="249" t="str">
        <f t="shared" si="3"/>
        <v/>
      </c>
      <c r="F389" s="158" t="str">
        <f t="shared" si="4"/>
        <v/>
      </c>
      <c r="G389" s="247" t="str">
        <f>IF(A389&lt;&gt;"", 'Sales (Итоги оценки)'!$C$4, "")</f>
        <v/>
      </c>
      <c r="H389" s="249" t="str">
        <f t="shared" si="5"/>
        <v/>
      </c>
      <c r="I389" s="251"/>
      <c r="J389" s="252" t="str">
        <f>'Оценка'!B392</f>
        <v/>
      </c>
      <c r="L389" s="253" t="str">
        <f t="shared" si="7"/>
        <v/>
      </c>
    </row>
    <row r="390">
      <c r="A390" s="247" t="str">
        <f>'Оценка'!C393</f>
        <v/>
      </c>
      <c r="B390" s="247" t="str">
        <f>'Оценка'!D393</f>
        <v/>
      </c>
      <c r="C390" s="249" t="str">
        <f t="shared" si="1"/>
        <v/>
      </c>
      <c r="D390" s="249" t="str">
        <f t="shared" si="2"/>
        <v/>
      </c>
      <c r="E390" s="249" t="str">
        <f t="shared" si="3"/>
        <v/>
      </c>
      <c r="F390" s="158" t="str">
        <f t="shared" si="4"/>
        <v/>
      </c>
      <c r="G390" s="247" t="str">
        <f>IF(A390&lt;&gt;"", 'Sales (Итоги оценки)'!$C$4, "")</f>
        <v/>
      </c>
      <c r="H390" s="249" t="str">
        <f t="shared" si="5"/>
        <v/>
      </c>
      <c r="I390" s="251"/>
      <c r="J390" s="252" t="str">
        <f>'Оценка'!B393</f>
        <v/>
      </c>
      <c r="L390" s="253" t="str">
        <f t="shared" si="7"/>
        <v/>
      </c>
    </row>
    <row r="391">
      <c r="A391" s="247" t="str">
        <f>'Оценка'!C394</f>
        <v/>
      </c>
      <c r="B391" s="247" t="str">
        <f>'Оценка'!D394</f>
        <v/>
      </c>
      <c r="C391" s="249" t="str">
        <f t="shared" si="1"/>
        <v/>
      </c>
      <c r="D391" s="249" t="str">
        <f t="shared" si="2"/>
        <v/>
      </c>
      <c r="E391" s="249" t="str">
        <f t="shared" si="3"/>
        <v/>
      </c>
      <c r="F391" s="158" t="str">
        <f t="shared" si="4"/>
        <v/>
      </c>
      <c r="G391" s="247" t="str">
        <f>IF(A391&lt;&gt;"", 'Sales (Итоги оценки)'!$C$4, "")</f>
        <v/>
      </c>
      <c r="H391" s="249" t="str">
        <f t="shared" si="5"/>
        <v/>
      </c>
      <c r="I391" s="251"/>
      <c r="J391" s="252" t="str">
        <f>'Оценка'!B394</f>
        <v/>
      </c>
      <c r="L391" s="253" t="str">
        <f t="shared" si="7"/>
        <v/>
      </c>
    </row>
    <row r="392">
      <c r="A392" s="247" t="str">
        <f>'Оценка'!C395</f>
        <v/>
      </c>
      <c r="B392" s="247" t="str">
        <f>'Оценка'!D395</f>
        <v/>
      </c>
      <c r="C392" s="249" t="str">
        <f t="shared" si="1"/>
        <v/>
      </c>
      <c r="D392" s="249" t="str">
        <f t="shared" si="2"/>
        <v/>
      </c>
      <c r="E392" s="249" t="str">
        <f t="shared" si="3"/>
        <v/>
      </c>
      <c r="F392" s="158" t="str">
        <f t="shared" si="4"/>
        <v/>
      </c>
      <c r="G392" s="247" t="str">
        <f>IF(A392&lt;&gt;"", 'Sales (Итоги оценки)'!$C$4, "")</f>
        <v/>
      </c>
      <c r="H392" s="249" t="str">
        <f t="shared" si="5"/>
        <v/>
      </c>
      <c r="I392" s="251"/>
      <c r="J392" s="252" t="str">
        <f>'Оценка'!B395</f>
        <v/>
      </c>
      <c r="L392" s="253" t="str">
        <f t="shared" si="7"/>
        <v/>
      </c>
    </row>
    <row r="393">
      <c r="A393" s="247" t="str">
        <f>'Оценка'!C396</f>
        <v/>
      </c>
      <c r="B393" s="247" t="str">
        <f>'Оценка'!D396</f>
        <v/>
      </c>
      <c r="C393" s="249" t="str">
        <f t="shared" si="1"/>
        <v/>
      </c>
      <c r="D393" s="249" t="str">
        <f t="shared" si="2"/>
        <v/>
      </c>
      <c r="E393" s="249" t="str">
        <f t="shared" si="3"/>
        <v/>
      </c>
      <c r="F393" s="158" t="str">
        <f t="shared" si="4"/>
        <v/>
      </c>
      <c r="G393" s="247" t="str">
        <f>IF(A393&lt;&gt;"", 'Sales (Итоги оценки)'!$C$4, "")</f>
        <v/>
      </c>
      <c r="H393" s="249" t="str">
        <f t="shared" si="5"/>
        <v/>
      </c>
      <c r="I393" s="251"/>
      <c r="J393" s="252" t="str">
        <f>'Оценка'!B396</f>
        <v/>
      </c>
      <c r="L393" s="253" t="str">
        <f t="shared" si="7"/>
        <v/>
      </c>
    </row>
    <row r="394">
      <c r="A394" s="247" t="str">
        <f>'Оценка'!C397</f>
        <v/>
      </c>
      <c r="B394" s="247" t="str">
        <f>'Оценка'!D397</f>
        <v/>
      </c>
      <c r="C394" s="249" t="str">
        <f t="shared" si="1"/>
        <v/>
      </c>
      <c r="D394" s="249" t="str">
        <f t="shared" si="2"/>
        <v/>
      </c>
      <c r="E394" s="249" t="str">
        <f t="shared" si="3"/>
        <v/>
      </c>
      <c r="F394" s="158" t="str">
        <f t="shared" si="4"/>
        <v/>
      </c>
      <c r="G394" s="247" t="str">
        <f>IF(A394&lt;&gt;"", 'Sales (Итоги оценки)'!$C$4, "")</f>
        <v/>
      </c>
      <c r="H394" s="249" t="str">
        <f t="shared" si="5"/>
        <v/>
      </c>
      <c r="I394" s="251"/>
      <c r="J394" s="252" t="str">
        <f>'Оценка'!B397</f>
        <v/>
      </c>
      <c r="L394" s="253" t="str">
        <f t="shared" si="7"/>
        <v/>
      </c>
    </row>
    <row r="395">
      <c r="A395" s="247" t="str">
        <f>'Оценка'!C398</f>
        <v/>
      </c>
      <c r="B395" s="247" t="str">
        <f>'Оценка'!D398</f>
        <v/>
      </c>
      <c r="C395" s="249" t="str">
        <f t="shared" si="1"/>
        <v/>
      </c>
      <c r="D395" s="249" t="str">
        <f t="shared" si="2"/>
        <v/>
      </c>
      <c r="E395" s="249" t="str">
        <f t="shared" si="3"/>
        <v/>
      </c>
      <c r="F395" s="158" t="str">
        <f t="shared" si="4"/>
        <v/>
      </c>
      <c r="G395" s="247" t="str">
        <f>IF(A395&lt;&gt;"", 'Sales (Итоги оценки)'!$C$4, "")</f>
        <v/>
      </c>
      <c r="H395" s="249" t="str">
        <f t="shared" si="5"/>
        <v/>
      </c>
      <c r="I395" s="251"/>
      <c r="J395" s="252" t="str">
        <f>'Оценка'!B398</f>
        <v/>
      </c>
      <c r="L395" s="253" t="str">
        <f t="shared" si="7"/>
        <v/>
      </c>
    </row>
    <row r="396">
      <c r="A396" s="247" t="str">
        <f>'Оценка'!C399</f>
        <v/>
      </c>
      <c r="B396" s="247" t="str">
        <f>'Оценка'!D399</f>
        <v/>
      </c>
      <c r="C396" s="249" t="str">
        <f t="shared" si="1"/>
        <v/>
      </c>
      <c r="D396" s="249" t="str">
        <f t="shared" si="2"/>
        <v/>
      </c>
      <c r="E396" s="249" t="str">
        <f t="shared" si="3"/>
        <v/>
      </c>
      <c r="F396" s="158" t="str">
        <f t="shared" si="4"/>
        <v/>
      </c>
      <c r="G396" s="247" t="str">
        <f>IF(A396&lt;&gt;"", 'Sales (Итоги оценки)'!$C$4, "")</f>
        <v/>
      </c>
      <c r="H396" s="249" t="str">
        <f t="shared" si="5"/>
        <v/>
      </c>
      <c r="I396" s="251"/>
      <c r="J396" s="252" t="str">
        <f>'Оценка'!B399</f>
        <v/>
      </c>
      <c r="L396" s="253" t="str">
        <f t="shared" si="7"/>
        <v/>
      </c>
    </row>
    <row r="397">
      <c r="A397" s="247" t="str">
        <f>'Оценка'!C400</f>
        <v/>
      </c>
      <c r="B397" s="247" t="str">
        <f>'Оценка'!D400</f>
        <v/>
      </c>
      <c r="C397" s="249" t="str">
        <f t="shared" si="1"/>
        <v/>
      </c>
      <c r="D397" s="249" t="str">
        <f t="shared" si="2"/>
        <v/>
      </c>
      <c r="E397" s="249" t="str">
        <f t="shared" si="3"/>
        <v/>
      </c>
      <c r="F397" s="158" t="str">
        <f t="shared" si="4"/>
        <v/>
      </c>
      <c r="G397" s="247" t="str">
        <f>IF(A397&lt;&gt;"", 'Sales (Итоги оценки)'!$C$4, "")</f>
        <v/>
      </c>
      <c r="H397" s="249" t="str">
        <f t="shared" si="5"/>
        <v/>
      </c>
      <c r="I397" s="251"/>
      <c r="J397" s="252" t="str">
        <f>'Оценка'!B400</f>
        <v/>
      </c>
      <c r="L397" s="253" t="str">
        <f t="shared" ref="L397:L485" si="21">IF(A397&lt;&gt;"", TODAY() + (I397 / 86400)
, "")</f>
        <v/>
      </c>
    </row>
    <row r="398">
      <c r="A398" s="247" t="str">
        <f>'Оценка'!C401</f>
        <v/>
      </c>
      <c r="B398" s="247" t="str">
        <f>'Оценка'!D401</f>
        <v/>
      </c>
      <c r="C398" s="249" t="str">
        <f t="shared" si="1"/>
        <v/>
      </c>
      <c r="D398" s="249" t="str">
        <f t="shared" si="2"/>
        <v/>
      </c>
      <c r="E398" s="249" t="str">
        <f t="shared" si="3"/>
        <v/>
      </c>
      <c r="F398" s="158" t="str">
        <f t="shared" si="4"/>
        <v/>
      </c>
      <c r="G398" s="247" t="str">
        <f>IF(A398&lt;&gt;"", 'Sales (Итоги оценки)'!$C$4, "")</f>
        <v/>
      </c>
      <c r="H398" s="249" t="str">
        <f t="shared" si="5"/>
        <v/>
      </c>
      <c r="I398" s="251"/>
      <c r="J398" s="252" t="str">
        <f>'Оценка'!B401</f>
        <v/>
      </c>
      <c r="L398" s="253" t="str">
        <f t="shared" si="21"/>
        <v/>
      </c>
    </row>
    <row r="399">
      <c r="A399" s="247" t="str">
        <f>'Оценка'!C402</f>
        <v/>
      </c>
      <c r="B399" s="247" t="str">
        <f>'Оценка'!D402</f>
        <v/>
      </c>
      <c r="C399" s="249" t="str">
        <f t="shared" si="1"/>
        <v/>
      </c>
      <c r="D399" s="249" t="str">
        <f t="shared" si="2"/>
        <v/>
      </c>
      <c r="E399" s="249" t="str">
        <f t="shared" si="3"/>
        <v/>
      </c>
      <c r="F399" s="158" t="str">
        <f t="shared" si="4"/>
        <v/>
      </c>
      <c r="G399" s="247" t="str">
        <f>IF(A399&lt;&gt;"", 'Sales (Итоги оценки)'!$C$4, "")</f>
        <v/>
      </c>
      <c r="H399" s="249" t="str">
        <f t="shared" si="5"/>
        <v/>
      </c>
      <c r="I399" s="251"/>
      <c r="J399" s="252" t="str">
        <f>'Оценка'!B402</f>
        <v/>
      </c>
      <c r="L399" s="253" t="str">
        <f t="shared" si="21"/>
        <v/>
      </c>
    </row>
    <row r="400">
      <c r="A400" s="247" t="str">
        <f>'Оценка'!C403</f>
        <v/>
      </c>
      <c r="B400" s="247" t="str">
        <f>'Оценка'!D403</f>
        <v/>
      </c>
      <c r="C400" s="249" t="str">
        <f t="shared" si="1"/>
        <v/>
      </c>
      <c r="D400" s="249" t="str">
        <f t="shared" si="2"/>
        <v/>
      </c>
      <c r="E400" s="249" t="str">
        <f t="shared" si="3"/>
        <v/>
      </c>
      <c r="F400" s="158" t="str">
        <f t="shared" si="4"/>
        <v/>
      </c>
      <c r="G400" s="247" t="str">
        <f>IF(A400&lt;&gt;"", 'Sales (Итоги оценки)'!$C$4, "")</f>
        <v/>
      </c>
      <c r="H400" s="249" t="str">
        <f t="shared" si="5"/>
        <v/>
      </c>
      <c r="I400" s="251"/>
      <c r="J400" s="252" t="str">
        <f>'Оценка'!B403</f>
        <v/>
      </c>
      <c r="L400" s="253" t="str">
        <f t="shared" si="21"/>
        <v/>
      </c>
    </row>
    <row r="401">
      <c r="A401" s="247" t="str">
        <f>'Оценка'!C404</f>
        <v/>
      </c>
      <c r="B401" s="247" t="str">
        <f>'Оценка'!D404</f>
        <v/>
      </c>
      <c r="C401" s="249" t="str">
        <f t="shared" si="1"/>
        <v/>
      </c>
      <c r="D401" s="249" t="str">
        <f t="shared" si="2"/>
        <v/>
      </c>
      <c r="E401" s="249" t="str">
        <f t="shared" si="3"/>
        <v/>
      </c>
      <c r="F401" s="158" t="str">
        <f t="shared" si="4"/>
        <v/>
      </c>
      <c r="G401" s="247" t="str">
        <f>IF(A401&lt;&gt;"", 'Sales (Итоги оценки)'!$C$4, "")</f>
        <v/>
      </c>
      <c r="H401" s="249" t="str">
        <f t="shared" si="5"/>
        <v/>
      </c>
      <c r="I401" s="251"/>
      <c r="J401" s="252" t="str">
        <f>'Оценка'!B404</f>
        <v/>
      </c>
      <c r="L401" s="253" t="str">
        <f t="shared" si="21"/>
        <v/>
      </c>
    </row>
    <row r="402">
      <c r="A402" s="247" t="str">
        <f>'Оценка'!C405</f>
        <v/>
      </c>
      <c r="B402" s="247" t="str">
        <f>'Оценка'!D405</f>
        <v/>
      </c>
      <c r="C402" s="249" t="str">
        <f t="shared" si="1"/>
        <v/>
      </c>
      <c r="D402" s="249" t="str">
        <f t="shared" si="2"/>
        <v/>
      </c>
      <c r="E402" s="249" t="str">
        <f t="shared" si="3"/>
        <v/>
      </c>
      <c r="F402" s="158" t="str">
        <f t="shared" si="4"/>
        <v/>
      </c>
      <c r="G402" s="247" t="str">
        <f>IF(A402&lt;&gt;"", 'Sales (Итоги оценки)'!$C$4, "")</f>
        <v/>
      </c>
      <c r="H402" s="249" t="str">
        <f t="shared" si="5"/>
        <v/>
      </c>
      <c r="I402" s="251"/>
      <c r="J402" s="252" t="str">
        <f>'Оценка'!B405</f>
        <v/>
      </c>
      <c r="L402" s="253" t="str">
        <f t="shared" si="21"/>
        <v/>
      </c>
    </row>
    <row r="403">
      <c r="A403" s="247" t="str">
        <f>'Оценка'!C406</f>
        <v/>
      </c>
      <c r="B403" s="247" t="str">
        <f>'Оценка'!D406</f>
        <v/>
      </c>
      <c r="C403" s="249" t="str">
        <f t="shared" si="1"/>
        <v/>
      </c>
      <c r="D403" s="249" t="str">
        <f t="shared" si="2"/>
        <v/>
      </c>
      <c r="E403" s="249" t="str">
        <f t="shared" si="3"/>
        <v/>
      </c>
      <c r="F403" s="158" t="str">
        <f t="shared" si="4"/>
        <v/>
      </c>
      <c r="G403" s="247" t="str">
        <f>IF(A403&lt;&gt;"", 'Sales (Итоги оценки)'!$C$4, "")</f>
        <v/>
      </c>
      <c r="H403" s="249" t="str">
        <f t="shared" si="5"/>
        <v/>
      </c>
      <c r="I403" s="251"/>
      <c r="J403" s="252" t="str">
        <f>'Оценка'!B406</f>
        <v/>
      </c>
      <c r="L403" s="253" t="str">
        <f t="shared" si="21"/>
        <v/>
      </c>
    </row>
    <row r="404">
      <c r="A404" s="247" t="str">
        <f>'Оценка'!C407</f>
        <v/>
      </c>
      <c r="B404" s="247" t="str">
        <f>'Оценка'!D407</f>
        <v/>
      </c>
      <c r="C404" s="249" t="str">
        <f t="shared" si="1"/>
        <v/>
      </c>
      <c r="D404" s="249" t="str">
        <f t="shared" si="2"/>
        <v/>
      </c>
      <c r="E404" s="249" t="str">
        <f t="shared" si="3"/>
        <v/>
      </c>
      <c r="F404" s="158" t="str">
        <f t="shared" si="4"/>
        <v/>
      </c>
      <c r="G404" s="247" t="str">
        <f>IF(A404&lt;&gt;"", 'Sales (Итоги оценки)'!$C$4, "")</f>
        <v/>
      </c>
      <c r="H404" s="249" t="str">
        <f t="shared" si="5"/>
        <v/>
      </c>
      <c r="I404" s="251"/>
      <c r="J404" s="252" t="str">
        <f>'Оценка'!B407</f>
        <v/>
      </c>
      <c r="L404" s="253" t="str">
        <f t="shared" si="21"/>
        <v/>
      </c>
    </row>
    <row r="405">
      <c r="A405" s="247" t="str">
        <f>'Оценка'!C408</f>
        <v/>
      </c>
      <c r="B405" s="247" t="str">
        <f>'Оценка'!D408</f>
        <v/>
      </c>
      <c r="C405" s="249" t="str">
        <f t="shared" si="1"/>
        <v/>
      </c>
      <c r="D405" s="249" t="str">
        <f t="shared" si="2"/>
        <v/>
      </c>
      <c r="E405" s="249" t="str">
        <f t="shared" si="3"/>
        <v/>
      </c>
      <c r="F405" s="158" t="str">
        <f t="shared" si="4"/>
        <v/>
      </c>
      <c r="G405" s="247" t="str">
        <f>IF(A405&lt;&gt;"", 'Sales (Итоги оценки)'!$C$4, "")</f>
        <v/>
      </c>
      <c r="H405" s="249" t="str">
        <f t="shared" si="5"/>
        <v/>
      </c>
      <c r="I405" s="251"/>
      <c r="J405" s="252" t="str">
        <f>'Оценка'!B408</f>
        <v/>
      </c>
      <c r="L405" s="253" t="str">
        <f t="shared" si="21"/>
        <v/>
      </c>
    </row>
    <row r="406">
      <c r="A406" s="247" t="str">
        <f>'Оценка'!C409</f>
        <v/>
      </c>
      <c r="B406" s="247" t="str">
        <f>'Оценка'!D409</f>
        <v/>
      </c>
      <c r="C406" s="249" t="str">
        <f t="shared" si="1"/>
        <v/>
      </c>
      <c r="D406" s="249" t="str">
        <f t="shared" si="2"/>
        <v/>
      </c>
      <c r="E406" s="249" t="str">
        <f t="shared" si="3"/>
        <v/>
      </c>
      <c r="F406" s="158" t="str">
        <f t="shared" si="4"/>
        <v/>
      </c>
      <c r="G406" s="247" t="str">
        <f>IF(A406&lt;&gt;"", 'Sales (Итоги оценки)'!$C$4, "")</f>
        <v/>
      </c>
      <c r="H406" s="249" t="str">
        <f t="shared" si="5"/>
        <v/>
      </c>
      <c r="I406" s="251"/>
      <c r="J406" s="252" t="str">
        <f>'Оценка'!B409</f>
        <v/>
      </c>
      <c r="L406" s="253" t="str">
        <f t="shared" si="21"/>
        <v/>
      </c>
    </row>
    <row r="407">
      <c r="A407" s="247" t="str">
        <f>'Оценка'!C410</f>
        <v/>
      </c>
      <c r="B407" s="247" t="str">
        <f>'Оценка'!D410</f>
        <v/>
      </c>
      <c r="C407" s="249" t="str">
        <f t="shared" si="1"/>
        <v/>
      </c>
      <c r="D407" s="249" t="str">
        <f t="shared" si="2"/>
        <v/>
      </c>
      <c r="E407" s="249" t="str">
        <f t="shared" si="3"/>
        <v/>
      </c>
      <c r="F407" s="158" t="str">
        <f t="shared" si="4"/>
        <v/>
      </c>
      <c r="G407" s="247" t="str">
        <f>IF(A407&lt;&gt;"", 'Sales (Итоги оценки)'!$C$4, "")</f>
        <v/>
      </c>
      <c r="H407" s="249" t="str">
        <f t="shared" si="5"/>
        <v/>
      </c>
      <c r="I407" s="251"/>
      <c r="J407" s="252" t="str">
        <f>'Оценка'!B410</f>
        <v/>
      </c>
      <c r="L407" s="253" t="str">
        <f t="shared" si="21"/>
        <v/>
      </c>
    </row>
    <row r="408">
      <c r="A408" s="247" t="str">
        <f>'Оценка'!C411</f>
        <v/>
      </c>
      <c r="B408" s="247" t="str">
        <f>'Оценка'!D411</f>
        <v/>
      </c>
      <c r="C408" s="249" t="str">
        <f t="shared" si="1"/>
        <v/>
      </c>
      <c r="D408" s="249" t="str">
        <f t="shared" si="2"/>
        <v/>
      </c>
      <c r="E408" s="249" t="str">
        <f t="shared" si="3"/>
        <v/>
      </c>
      <c r="F408" s="158" t="str">
        <f t="shared" si="4"/>
        <v/>
      </c>
      <c r="G408" s="247" t="str">
        <f>IF(A408&lt;&gt;"", 'Sales (Итоги оценки)'!$C$4, "")</f>
        <v/>
      </c>
      <c r="H408" s="249" t="str">
        <f t="shared" si="5"/>
        <v/>
      </c>
      <c r="I408" s="251"/>
      <c r="J408" s="252" t="str">
        <f>'Оценка'!B411</f>
        <v/>
      </c>
      <c r="L408" s="253" t="str">
        <f t="shared" si="21"/>
        <v/>
      </c>
    </row>
    <row r="409">
      <c r="A409" s="247" t="str">
        <f>'Оценка'!C412</f>
        <v/>
      </c>
      <c r="B409" s="247" t="str">
        <f>'Оценка'!D412</f>
        <v/>
      </c>
      <c r="C409" s="249" t="str">
        <f t="shared" si="1"/>
        <v/>
      </c>
      <c r="D409" s="249" t="str">
        <f t="shared" si="2"/>
        <v/>
      </c>
      <c r="E409" s="249" t="str">
        <f t="shared" si="3"/>
        <v/>
      </c>
      <c r="F409" s="158" t="str">
        <f t="shared" si="4"/>
        <v/>
      </c>
      <c r="G409" s="247" t="str">
        <f>IF(A409&lt;&gt;"", 'Sales (Итоги оценки)'!$C$4, "")</f>
        <v/>
      </c>
      <c r="H409" s="249" t="str">
        <f t="shared" si="5"/>
        <v/>
      </c>
      <c r="I409" s="251"/>
      <c r="J409" s="252" t="str">
        <f>'Оценка'!B412</f>
        <v/>
      </c>
      <c r="L409" s="253" t="str">
        <f t="shared" si="21"/>
        <v/>
      </c>
    </row>
    <row r="410">
      <c r="A410" s="247" t="str">
        <f>'Оценка'!C413</f>
        <v/>
      </c>
      <c r="B410" s="247" t="str">
        <f>'Оценка'!D413</f>
        <v/>
      </c>
      <c r="C410" s="249" t="str">
        <f t="shared" si="1"/>
        <v/>
      </c>
      <c r="D410" s="249" t="str">
        <f t="shared" si="2"/>
        <v/>
      </c>
      <c r="E410" s="249" t="str">
        <f t="shared" si="3"/>
        <v/>
      </c>
      <c r="F410" s="158" t="str">
        <f t="shared" si="4"/>
        <v/>
      </c>
      <c r="G410" s="247" t="str">
        <f>IF(A410&lt;&gt;"", 'Sales (Итоги оценки)'!$C$4, "")</f>
        <v/>
      </c>
      <c r="H410" s="249" t="str">
        <f t="shared" si="5"/>
        <v/>
      </c>
      <c r="I410" s="251"/>
      <c r="J410" s="252" t="str">
        <f>'Оценка'!B413</f>
        <v/>
      </c>
      <c r="L410" s="253" t="str">
        <f t="shared" si="21"/>
        <v/>
      </c>
    </row>
    <row r="411">
      <c r="A411" s="247" t="str">
        <f>'Оценка'!C414</f>
        <v/>
      </c>
      <c r="B411" s="247" t="str">
        <f>'Оценка'!D414</f>
        <v/>
      </c>
      <c r="C411" s="249" t="str">
        <f t="shared" si="1"/>
        <v/>
      </c>
      <c r="D411" s="249" t="str">
        <f t="shared" si="2"/>
        <v/>
      </c>
      <c r="E411" s="249" t="str">
        <f t="shared" si="3"/>
        <v/>
      </c>
      <c r="F411" s="158" t="str">
        <f t="shared" si="4"/>
        <v/>
      </c>
      <c r="G411" s="247" t="str">
        <f>IF(A411&lt;&gt;"", 'Sales (Итоги оценки)'!$C$4, "")</f>
        <v/>
      </c>
      <c r="H411" s="249" t="str">
        <f t="shared" si="5"/>
        <v/>
      </c>
      <c r="I411" s="251"/>
      <c r="J411" s="252" t="str">
        <f>'Оценка'!B414</f>
        <v/>
      </c>
      <c r="L411" s="253" t="str">
        <f t="shared" si="21"/>
        <v/>
      </c>
    </row>
    <row r="412">
      <c r="A412" s="247" t="str">
        <f>'Оценка'!C415</f>
        <v/>
      </c>
      <c r="B412" s="247" t="str">
        <f>'Оценка'!D415</f>
        <v/>
      </c>
      <c r="C412" s="249" t="str">
        <f t="shared" si="1"/>
        <v/>
      </c>
      <c r="D412" s="249" t="str">
        <f t="shared" si="2"/>
        <v/>
      </c>
      <c r="E412" s="249" t="str">
        <f t="shared" si="3"/>
        <v/>
      </c>
      <c r="F412" s="158" t="str">
        <f t="shared" si="4"/>
        <v/>
      </c>
      <c r="G412" s="247" t="str">
        <f>IF(A412&lt;&gt;"", 'Sales (Итоги оценки)'!$C$4, "")</f>
        <v/>
      </c>
      <c r="H412" s="249" t="str">
        <f t="shared" si="5"/>
        <v/>
      </c>
      <c r="I412" s="251"/>
      <c r="J412" s="252" t="str">
        <f>'Оценка'!B415</f>
        <v/>
      </c>
      <c r="L412" s="253" t="str">
        <f t="shared" si="21"/>
        <v/>
      </c>
    </row>
    <row r="413">
      <c r="A413" s="247" t="str">
        <f>'Оценка'!C416</f>
        <v/>
      </c>
      <c r="B413" s="247" t="str">
        <f>'Оценка'!D416</f>
        <v/>
      </c>
      <c r="C413" s="249" t="str">
        <f t="shared" si="1"/>
        <v/>
      </c>
      <c r="D413" s="249" t="str">
        <f t="shared" si="2"/>
        <v/>
      </c>
      <c r="E413" s="249" t="str">
        <f t="shared" si="3"/>
        <v/>
      </c>
      <c r="F413" s="158" t="str">
        <f t="shared" si="4"/>
        <v/>
      </c>
      <c r="G413" s="247" t="str">
        <f>IF(A413&lt;&gt;"", 'Sales (Итоги оценки)'!$C$4, "")</f>
        <v/>
      </c>
      <c r="H413" s="249" t="str">
        <f t="shared" si="5"/>
        <v/>
      </c>
      <c r="I413" s="251"/>
      <c r="J413" s="252" t="str">
        <f>'Оценка'!B416</f>
        <v/>
      </c>
      <c r="L413" s="253" t="str">
        <f t="shared" si="21"/>
        <v/>
      </c>
    </row>
    <row r="414">
      <c r="A414" s="247" t="str">
        <f>'Оценка'!C417</f>
        <v/>
      </c>
      <c r="B414" s="247" t="str">
        <f>'Оценка'!D417</f>
        <v/>
      </c>
      <c r="C414" s="249" t="str">
        <f t="shared" si="1"/>
        <v/>
      </c>
      <c r="D414" s="249" t="str">
        <f t="shared" si="2"/>
        <v/>
      </c>
      <c r="E414" s="249" t="str">
        <f t="shared" si="3"/>
        <v/>
      </c>
      <c r="F414" s="158" t="str">
        <f t="shared" si="4"/>
        <v/>
      </c>
      <c r="G414" s="247" t="str">
        <f>IF(A414&lt;&gt;"", 'Sales (Итоги оценки)'!$C$4, "")</f>
        <v/>
      </c>
      <c r="H414" s="249" t="str">
        <f t="shared" si="5"/>
        <v/>
      </c>
      <c r="I414" s="251"/>
      <c r="J414" s="252" t="str">
        <f>'Оценка'!B417</f>
        <v/>
      </c>
      <c r="L414" s="253" t="str">
        <f t="shared" si="21"/>
        <v/>
      </c>
    </row>
    <row r="415">
      <c r="A415" s="247" t="str">
        <f>'Оценка'!C418</f>
        <v/>
      </c>
      <c r="B415" s="247" t="str">
        <f>'Оценка'!D418</f>
        <v/>
      </c>
      <c r="C415" s="249" t="str">
        <f t="shared" si="1"/>
        <v/>
      </c>
      <c r="D415" s="249" t="str">
        <f t="shared" si="2"/>
        <v/>
      </c>
      <c r="E415" s="249" t="str">
        <f t="shared" si="3"/>
        <v/>
      </c>
      <c r="F415" s="158" t="str">
        <f t="shared" si="4"/>
        <v/>
      </c>
      <c r="G415" s="247" t="str">
        <f>IF(A415&lt;&gt;"", 'Sales (Итоги оценки)'!$C$4, "")</f>
        <v/>
      </c>
      <c r="H415" s="249" t="str">
        <f t="shared" si="5"/>
        <v/>
      </c>
      <c r="I415" s="251"/>
      <c r="J415" s="252" t="str">
        <f>'Оценка'!B418</f>
        <v/>
      </c>
      <c r="L415" s="253" t="str">
        <f t="shared" si="21"/>
        <v/>
      </c>
    </row>
    <row r="416">
      <c r="A416" s="247" t="str">
        <f>'Оценка'!C419</f>
        <v/>
      </c>
      <c r="B416" s="247" t="str">
        <f>'Оценка'!D419</f>
        <v/>
      </c>
      <c r="C416" s="249" t="str">
        <f t="shared" si="1"/>
        <v/>
      </c>
      <c r="D416" s="249" t="str">
        <f t="shared" si="2"/>
        <v/>
      </c>
      <c r="E416" s="249" t="str">
        <f t="shared" si="3"/>
        <v/>
      </c>
      <c r="F416" s="158" t="str">
        <f t="shared" si="4"/>
        <v/>
      </c>
      <c r="G416" s="247" t="str">
        <f>IF(A416&lt;&gt;"", 'Sales (Итоги оценки)'!$C$4, "")</f>
        <v/>
      </c>
      <c r="H416" s="249" t="str">
        <f t="shared" si="5"/>
        <v/>
      </c>
      <c r="I416" s="251"/>
      <c r="J416" s="252" t="str">
        <f>'Оценка'!B419</f>
        <v/>
      </c>
      <c r="L416" s="253" t="str">
        <f t="shared" si="21"/>
        <v/>
      </c>
    </row>
    <row r="417">
      <c r="A417" s="247" t="str">
        <f>'Оценка'!C420</f>
        <v/>
      </c>
      <c r="B417" s="247" t="str">
        <f>'Оценка'!D420</f>
        <v/>
      </c>
      <c r="C417" s="249" t="str">
        <f t="shared" si="1"/>
        <v/>
      </c>
      <c r="D417" s="249" t="str">
        <f t="shared" si="2"/>
        <v/>
      </c>
      <c r="E417" s="249" t="str">
        <f t="shared" si="3"/>
        <v/>
      </c>
      <c r="F417" s="158" t="str">
        <f t="shared" si="4"/>
        <v/>
      </c>
      <c r="G417" s="247" t="str">
        <f>IF(A417&lt;&gt;"", 'Sales (Итоги оценки)'!$C$4, "")</f>
        <v/>
      </c>
      <c r="H417" s="249" t="str">
        <f t="shared" si="5"/>
        <v/>
      </c>
      <c r="I417" s="251"/>
      <c r="J417" s="252" t="str">
        <f>'Оценка'!B420</f>
        <v/>
      </c>
      <c r="L417" s="253" t="str">
        <f t="shared" si="21"/>
        <v/>
      </c>
    </row>
    <row r="418">
      <c r="A418" s="247" t="str">
        <f>'Оценка'!C421</f>
        <v/>
      </c>
      <c r="B418" s="247" t="str">
        <f>'Оценка'!D421</f>
        <v/>
      </c>
      <c r="C418" s="249" t="str">
        <f t="shared" si="1"/>
        <v/>
      </c>
      <c r="D418" s="249" t="str">
        <f t="shared" si="2"/>
        <v/>
      </c>
      <c r="E418" s="249" t="str">
        <f t="shared" si="3"/>
        <v/>
      </c>
      <c r="F418" s="158" t="str">
        <f t="shared" si="4"/>
        <v/>
      </c>
      <c r="G418" s="247" t="str">
        <f>IF(A418&lt;&gt;"", 'Sales (Итоги оценки)'!$C$4, "")</f>
        <v/>
      </c>
      <c r="H418" s="249" t="str">
        <f t="shared" si="5"/>
        <v/>
      </c>
      <c r="I418" s="251"/>
      <c r="J418" s="252" t="str">
        <f>'Оценка'!B421</f>
        <v/>
      </c>
      <c r="L418" s="253" t="str">
        <f t="shared" si="21"/>
        <v/>
      </c>
    </row>
    <row r="419">
      <c r="A419" s="247" t="str">
        <f>'Оценка'!C422</f>
        <v/>
      </c>
      <c r="B419" s="247" t="str">
        <f>'Оценка'!D422</f>
        <v/>
      </c>
      <c r="C419" s="249" t="str">
        <f t="shared" si="1"/>
        <v/>
      </c>
      <c r="D419" s="249" t="str">
        <f t="shared" si="2"/>
        <v/>
      </c>
      <c r="E419" s="249" t="str">
        <f t="shared" si="3"/>
        <v/>
      </c>
      <c r="F419" s="158" t="str">
        <f t="shared" si="4"/>
        <v/>
      </c>
      <c r="G419" s="247" t="str">
        <f>IF(A419&lt;&gt;"", 'Sales (Итоги оценки)'!$C$4, "")</f>
        <v/>
      </c>
      <c r="H419" s="249" t="str">
        <f t="shared" si="5"/>
        <v/>
      </c>
      <c r="I419" s="251"/>
      <c r="J419" s="252" t="str">
        <f>'Оценка'!B422</f>
        <v/>
      </c>
      <c r="L419" s="253" t="str">
        <f t="shared" si="21"/>
        <v/>
      </c>
    </row>
    <row r="420">
      <c r="A420" s="247" t="str">
        <f>'Оценка'!C423</f>
        <v/>
      </c>
      <c r="B420" s="247" t="str">
        <f>'Оценка'!D423</f>
        <v/>
      </c>
      <c r="C420" s="249" t="str">
        <f t="shared" si="1"/>
        <v/>
      </c>
      <c r="D420" s="249" t="str">
        <f t="shared" si="2"/>
        <v/>
      </c>
      <c r="E420" s="249" t="str">
        <f t="shared" si="3"/>
        <v/>
      </c>
      <c r="F420" s="158" t="str">
        <f t="shared" si="4"/>
        <v/>
      </c>
      <c r="G420" s="247" t="str">
        <f>IF(A420&lt;&gt;"", 'Sales (Итоги оценки)'!$C$4, "")</f>
        <v/>
      </c>
      <c r="H420" s="249" t="str">
        <f t="shared" si="5"/>
        <v/>
      </c>
      <c r="I420" s="251"/>
      <c r="J420" s="252" t="str">
        <f>'Оценка'!B423</f>
        <v/>
      </c>
      <c r="L420" s="253" t="str">
        <f t="shared" si="21"/>
        <v/>
      </c>
    </row>
    <row r="421">
      <c r="A421" s="247" t="str">
        <f>'Оценка'!C424</f>
        <v/>
      </c>
      <c r="B421" s="247" t="str">
        <f>'Оценка'!D424</f>
        <v/>
      </c>
      <c r="C421" s="249" t="str">
        <f t="shared" si="1"/>
        <v/>
      </c>
      <c r="D421" s="249" t="str">
        <f t="shared" si="2"/>
        <v/>
      </c>
      <c r="E421" s="249" t="str">
        <f t="shared" si="3"/>
        <v/>
      </c>
      <c r="F421" s="158" t="str">
        <f t="shared" si="4"/>
        <v/>
      </c>
      <c r="G421" s="247" t="str">
        <f>IF(A421&lt;&gt;"", 'Sales (Итоги оценки)'!$C$4, "")</f>
        <v/>
      </c>
      <c r="H421" s="249" t="str">
        <f t="shared" si="5"/>
        <v/>
      </c>
      <c r="I421" s="251"/>
      <c r="J421" s="252" t="str">
        <f>'Оценка'!B424</f>
        <v/>
      </c>
      <c r="L421" s="253" t="str">
        <f t="shared" si="21"/>
        <v/>
      </c>
    </row>
    <row r="422">
      <c r="A422" s="247" t="str">
        <f>'Оценка'!C425</f>
        <v/>
      </c>
      <c r="B422" s="247" t="str">
        <f>'Оценка'!D425</f>
        <v/>
      </c>
      <c r="C422" s="249" t="str">
        <f t="shared" si="1"/>
        <v/>
      </c>
      <c r="D422" s="249" t="str">
        <f t="shared" si="2"/>
        <v/>
      </c>
      <c r="E422" s="249" t="str">
        <f t="shared" si="3"/>
        <v/>
      </c>
      <c r="F422" s="158" t="str">
        <f t="shared" si="4"/>
        <v/>
      </c>
      <c r="G422" s="247" t="str">
        <f>IF(A422&lt;&gt;"", 'Sales (Итоги оценки)'!$C$4, "")</f>
        <v/>
      </c>
      <c r="H422" s="249" t="str">
        <f t="shared" si="5"/>
        <v/>
      </c>
      <c r="I422" s="251"/>
      <c r="J422" s="252" t="str">
        <f>'Оценка'!B425</f>
        <v/>
      </c>
      <c r="L422" s="253" t="str">
        <f t="shared" si="21"/>
        <v/>
      </c>
    </row>
    <row r="423">
      <c r="A423" s="247" t="str">
        <f>'Оценка'!C426</f>
        <v/>
      </c>
      <c r="B423" s="247" t="str">
        <f>'Оценка'!D426</f>
        <v/>
      </c>
      <c r="C423" s="249" t="str">
        <f t="shared" si="1"/>
        <v/>
      </c>
      <c r="D423" s="249" t="str">
        <f t="shared" si="2"/>
        <v/>
      </c>
      <c r="E423" s="249" t="str">
        <f t="shared" si="3"/>
        <v/>
      </c>
      <c r="F423" s="158" t="str">
        <f t="shared" si="4"/>
        <v/>
      </c>
      <c r="G423" s="247" t="str">
        <f>IF(A423&lt;&gt;"", 'Sales (Итоги оценки)'!$C$4, "")</f>
        <v/>
      </c>
      <c r="H423" s="249" t="str">
        <f t="shared" si="5"/>
        <v/>
      </c>
      <c r="I423" s="251"/>
      <c r="J423" s="252" t="str">
        <f>'Оценка'!B426</f>
        <v/>
      </c>
      <c r="L423" s="253" t="str">
        <f t="shared" si="21"/>
        <v/>
      </c>
    </row>
    <row r="424">
      <c r="A424" s="247" t="str">
        <f>'Оценка'!C427</f>
        <v/>
      </c>
      <c r="B424" s="247" t="str">
        <f>'Оценка'!D427</f>
        <v/>
      </c>
      <c r="C424" s="249" t="str">
        <f t="shared" si="1"/>
        <v/>
      </c>
      <c r="D424" s="249" t="str">
        <f t="shared" si="2"/>
        <v/>
      </c>
      <c r="E424" s="249" t="str">
        <f t="shared" si="3"/>
        <v/>
      </c>
      <c r="F424" s="158" t="str">
        <f t="shared" si="4"/>
        <v/>
      </c>
      <c r="G424" s="247" t="str">
        <f>IF(A424&lt;&gt;"", 'Sales (Итоги оценки)'!$C$4, "")</f>
        <v/>
      </c>
      <c r="H424" s="249" t="str">
        <f t="shared" si="5"/>
        <v/>
      </c>
      <c r="I424" s="251"/>
      <c r="J424" s="252" t="str">
        <f>'Оценка'!B427</f>
        <v/>
      </c>
      <c r="L424" s="253" t="str">
        <f t="shared" si="21"/>
        <v/>
      </c>
    </row>
    <row r="425">
      <c r="A425" s="247" t="str">
        <f>'Оценка'!C428</f>
        <v/>
      </c>
      <c r="B425" s="247" t="str">
        <f>'Оценка'!D428</f>
        <v/>
      </c>
      <c r="C425" s="249" t="str">
        <f t="shared" si="1"/>
        <v/>
      </c>
      <c r="D425" s="249" t="str">
        <f t="shared" si="2"/>
        <v/>
      </c>
      <c r="E425" s="249" t="str">
        <f t="shared" si="3"/>
        <v/>
      </c>
      <c r="F425" s="158" t="str">
        <f t="shared" si="4"/>
        <v/>
      </c>
      <c r="G425" s="247" t="str">
        <f>IF(A425&lt;&gt;"", 'Sales (Итоги оценки)'!$C$4, "")</f>
        <v/>
      </c>
      <c r="H425" s="249" t="str">
        <f t="shared" si="5"/>
        <v/>
      </c>
      <c r="I425" s="251"/>
      <c r="J425" s="252" t="str">
        <f>'Оценка'!B428</f>
        <v/>
      </c>
      <c r="L425" s="253" t="str">
        <f t="shared" si="21"/>
        <v/>
      </c>
    </row>
    <row r="426">
      <c r="A426" s="247" t="str">
        <f>'Оценка'!C429</f>
        <v/>
      </c>
      <c r="B426" s="247" t="str">
        <f>'Оценка'!D429</f>
        <v/>
      </c>
      <c r="C426" s="249" t="str">
        <f t="shared" si="1"/>
        <v/>
      </c>
      <c r="D426" s="249" t="str">
        <f t="shared" si="2"/>
        <v/>
      </c>
      <c r="E426" s="249" t="str">
        <f t="shared" si="3"/>
        <v/>
      </c>
      <c r="F426" s="158" t="str">
        <f t="shared" si="4"/>
        <v/>
      </c>
      <c r="G426" s="247" t="str">
        <f>IF(A426&lt;&gt;"", 'Sales (Итоги оценки)'!$C$4, "")</f>
        <v/>
      </c>
      <c r="H426" s="249" t="str">
        <f t="shared" si="5"/>
        <v/>
      </c>
      <c r="I426" s="251"/>
      <c r="J426" s="252" t="str">
        <f>'Оценка'!B429</f>
        <v/>
      </c>
      <c r="L426" s="253" t="str">
        <f t="shared" si="21"/>
        <v/>
      </c>
    </row>
    <row r="427">
      <c r="A427" s="247" t="str">
        <f>'Оценка'!C430</f>
        <v/>
      </c>
      <c r="B427" s="247" t="str">
        <f>'Оценка'!D430</f>
        <v/>
      </c>
      <c r="C427" s="249" t="str">
        <f t="shared" si="1"/>
        <v/>
      </c>
      <c r="D427" s="249" t="str">
        <f t="shared" si="2"/>
        <v/>
      </c>
      <c r="E427" s="249" t="str">
        <f t="shared" si="3"/>
        <v/>
      </c>
      <c r="F427" s="158" t="str">
        <f t="shared" si="4"/>
        <v/>
      </c>
      <c r="G427" s="247" t="str">
        <f>IF(A427&lt;&gt;"", 'Sales (Итоги оценки)'!$C$4, "")</f>
        <v/>
      </c>
      <c r="H427" s="249" t="str">
        <f t="shared" si="5"/>
        <v/>
      </c>
      <c r="I427" s="251"/>
      <c r="J427" s="252" t="str">
        <f>'Оценка'!B430</f>
        <v/>
      </c>
      <c r="L427" s="253" t="str">
        <f t="shared" si="21"/>
        <v/>
      </c>
    </row>
    <row r="428">
      <c r="A428" s="247" t="str">
        <f>'Оценка'!C431</f>
        <v/>
      </c>
      <c r="B428" s="247" t="str">
        <f>'Оценка'!D431</f>
        <v/>
      </c>
      <c r="C428" s="249" t="str">
        <f t="shared" si="1"/>
        <v/>
      </c>
      <c r="D428" s="249" t="str">
        <f t="shared" si="2"/>
        <v/>
      </c>
      <c r="E428" s="249" t="str">
        <f t="shared" si="3"/>
        <v/>
      </c>
      <c r="F428" s="158" t="str">
        <f t="shared" si="4"/>
        <v/>
      </c>
      <c r="G428" s="247" t="str">
        <f>IF(A428&lt;&gt;"", 'Sales (Итоги оценки)'!$C$4, "")</f>
        <v/>
      </c>
      <c r="H428" s="249" t="str">
        <f t="shared" si="5"/>
        <v/>
      </c>
      <c r="I428" s="251"/>
      <c r="J428" s="252" t="str">
        <f>'Оценка'!B431</f>
        <v/>
      </c>
      <c r="L428" s="253" t="str">
        <f t="shared" si="21"/>
        <v/>
      </c>
    </row>
    <row r="429">
      <c r="A429" s="247" t="str">
        <f>'Оценка'!C432</f>
        <v/>
      </c>
      <c r="B429" s="247" t="str">
        <f>'Оценка'!D432</f>
        <v/>
      </c>
      <c r="C429" s="249" t="str">
        <f t="shared" si="1"/>
        <v/>
      </c>
      <c r="D429" s="249" t="str">
        <f t="shared" si="2"/>
        <v/>
      </c>
      <c r="E429" s="249" t="str">
        <f t="shared" si="3"/>
        <v/>
      </c>
      <c r="F429" s="158" t="str">
        <f t="shared" si="4"/>
        <v/>
      </c>
      <c r="G429" s="247" t="str">
        <f>IF(A429&lt;&gt;"", 'Sales (Итоги оценки)'!$C$4, "")</f>
        <v/>
      </c>
      <c r="H429" s="249" t="str">
        <f t="shared" si="5"/>
        <v/>
      </c>
      <c r="I429" s="251"/>
      <c r="J429" s="252" t="str">
        <f>'Оценка'!B432</f>
        <v/>
      </c>
      <c r="L429" s="253" t="str">
        <f t="shared" si="21"/>
        <v/>
      </c>
    </row>
    <row r="430">
      <c r="A430" s="247" t="str">
        <f>'Оценка'!C433</f>
        <v/>
      </c>
      <c r="B430" s="247" t="str">
        <f>'Оценка'!D433</f>
        <v/>
      </c>
      <c r="C430" s="249" t="str">
        <f t="shared" si="1"/>
        <v/>
      </c>
      <c r="D430" s="249" t="str">
        <f t="shared" si="2"/>
        <v/>
      </c>
      <c r="E430" s="249" t="str">
        <f t="shared" si="3"/>
        <v/>
      </c>
      <c r="F430" s="158" t="str">
        <f t="shared" si="4"/>
        <v/>
      </c>
      <c r="G430" s="247" t="str">
        <f>IF(A430&lt;&gt;"", 'Sales (Итоги оценки)'!$C$4, "")</f>
        <v/>
      </c>
      <c r="H430" s="249" t="str">
        <f t="shared" si="5"/>
        <v/>
      </c>
      <c r="I430" s="251"/>
      <c r="J430" s="252" t="str">
        <f>'Оценка'!B433</f>
        <v/>
      </c>
      <c r="L430" s="253" t="str">
        <f t="shared" si="21"/>
        <v/>
      </c>
    </row>
    <row r="431">
      <c r="A431" s="247" t="str">
        <f>'Оценка'!C434</f>
        <v/>
      </c>
      <c r="B431" s="247" t="str">
        <f>'Оценка'!D434</f>
        <v/>
      </c>
      <c r="C431" s="249" t="str">
        <f t="shared" si="1"/>
        <v/>
      </c>
      <c r="D431" s="249" t="str">
        <f t="shared" si="2"/>
        <v/>
      </c>
      <c r="E431" s="249" t="str">
        <f t="shared" si="3"/>
        <v/>
      </c>
      <c r="F431" s="158" t="str">
        <f t="shared" si="4"/>
        <v/>
      </c>
      <c r="G431" s="247" t="str">
        <f>IF(A431&lt;&gt;"", 'Sales (Итоги оценки)'!$C$4, "")</f>
        <v/>
      </c>
      <c r="H431" s="249" t="str">
        <f t="shared" si="5"/>
        <v/>
      </c>
      <c r="I431" s="251"/>
      <c r="J431" s="252" t="str">
        <f>'Оценка'!B434</f>
        <v/>
      </c>
      <c r="L431" s="253" t="str">
        <f t="shared" si="21"/>
        <v/>
      </c>
    </row>
    <row r="432">
      <c r="A432" s="247" t="str">
        <f>'Оценка'!C435</f>
        <v/>
      </c>
      <c r="B432" s="247" t="str">
        <f>'Оценка'!D435</f>
        <v/>
      </c>
      <c r="C432" s="249" t="str">
        <f t="shared" si="1"/>
        <v/>
      </c>
      <c r="D432" s="249" t="str">
        <f t="shared" si="2"/>
        <v/>
      </c>
      <c r="E432" s="249" t="str">
        <f t="shared" si="3"/>
        <v/>
      </c>
      <c r="F432" s="158" t="str">
        <f t="shared" si="4"/>
        <v/>
      </c>
      <c r="G432" s="247" t="str">
        <f>IF(A432&lt;&gt;"", 'Sales (Итоги оценки)'!$C$4, "")</f>
        <v/>
      </c>
      <c r="H432" s="249" t="str">
        <f t="shared" si="5"/>
        <v/>
      </c>
      <c r="I432" s="251"/>
      <c r="J432" s="252" t="str">
        <f>'Оценка'!B435</f>
        <v/>
      </c>
      <c r="L432" s="253" t="str">
        <f t="shared" si="21"/>
        <v/>
      </c>
    </row>
    <row r="433">
      <c r="A433" s="247" t="str">
        <f>'Оценка'!C436</f>
        <v/>
      </c>
      <c r="B433" s="247" t="str">
        <f>'Оценка'!D436</f>
        <v/>
      </c>
      <c r="C433" s="249" t="str">
        <f t="shared" si="1"/>
        <v/>
      </c>
      <c r="D433" s="249" t="str">
        <f t="shared" si="2"/>
        <v/>
      </c>
      <c r="E433" s="249" t="str">
        <f t="shared" si="3"/>
        <v/>
      </c>
      <c r="F433" s="158" t="str">
        <f t="shared" si="4"/>
        <v/>
      </c>
      <c r="G433" s="247" t="str">
        <f>IF(A433&lt;&gt;"", 'Sales (Итоги оценки)'!$C$4, "")</f>
        <v/>
      </c>
      <c r="H433" s="249" t="str">
        <f t="shared" si="5"/>
        <v/>
      </c>
      <c r="I433" s="251"/>
      <c r="J433" s="252" t="str">
        <f>'Оценка'!B436</f>
        <v/>
      </c>
      <c r="L433" s="253" t="str">
        <f t="shared" si="21"/>
        <v/>
      </c>
    </row>
    <row r="434">
      <c r="A434" s="247" t="str">
        <f>'Оценка'!C437</f>
        <v/>
      </c>
      <c r="B434" s="247" t="str">
        <f>'Оценка'!D437</f>
        <v/>
      </c>
      <c r="C434" s="249" t="str">
        <f t="shared" si="1"/>
        <v/>
      </c>
      <c r="D434" s="249" t="str">
        <f t="shared" si="2"/>
        <v/>
      </c>
      <c r="E434" s="249" t="str">
        <f t="shared" si="3"/>
        <v/>
      </c>
      <c r="F434" s="158" t="str">
        <f t="shared" si="4"/>
        <v/>
      </c>
      <c r="G434" s="247" t="str">
        <f>IF(A434&lt;&gt;"", 'Sales (Итоги оценки)'!$C$4, "")</f>
        <v/>
      </c>
      <c r="H434" s="249" t="str">
        <f t="shared" si="5"/>
        <v/>
      </c>
      <c r="I434" s="251"/>
      <c r="J434" s="252" t="str">
        <f>'Оценка'!B437</f>
        <v/>
      </c>
      <c r="L434" s="253" t="str">
        <f t="shared" si="21"/>
        <v/>
      </c>
    </row>
    <row r="435">
      <c r="A435" s="247" t="str">
        <f>'Оценка'!C438</f>
        <v/>
      </c>
      <c r="B435" s="247" t="str">
        <f>'Оценка'!D438</f>
        <v/>
      </c>
      <c r="C435" s="249" t="str">
        <f t="shared" si="1"/>
        <v/>
      </c>
      <c r="D435" s="249" t="str">
        <f t="shared" si="2"/>
        <v/>
      </c>
      <c r="E435" s="249" t="str">
        <f t="shared" si="3"/>
        <v/>
      </c>
      <c r="F435" s="158" t="str">
        <f t="shared" si="4"/>
        <v/>
      </c>
      <c r="G435" s="247" t="str">
        <f>IF(A435&lt;&gt;"", 'Sales (Итоги оценки)'!$C$4, "")</f>
        <v/>
      </c>
      <c r="H435" s="249" t="str">
        <f t="shared" si="5"/>
        <v/>
      </c>
      <c r="I435" s="251"/>
      <c r="J435" s="252" t="str">
        <f>'Оценка'!B438</f>
        <v/>
      </c>
      <c r="L435" s="253" t="str">
        <f t="shared" si="21"/>
        <v/>
      </c>
    </row>
    <row r="436">
      <c r="A436" s="247" t="str">
        <f>'Оценка'!C439</f>
        <v/>
      </c>
      <c r="B436" s="247" t="str">
        <f>'Оценка'!D439</f>
        <v/>
      </c>
      <c r="C436" s="249" t="str">
        <f t="shared" si="1"/>
        <v/>
      </c>
      <c r="D436" s="249" t="str">
        <f t="shared" si="2"/>
        <v/>
      </c>
      <c r="E436" s="249" t="str">
        <f t="shared" si="3"/>
        <v/>
      </c>
      <c r="F436" s="158" t="str">
        <f t="shared" si="4"/>
        <v/>
      </c>
      <c r="G436" s="247" t="str">
        <f>IF(A436&lt;&gt;"", 'Sales (Итоги оценки)'!$C$4, "")</f>
        <v/>
      </c>
      <c r="H436" s="249" t="str">
        <f t="shared" si="5"/>
        <v/>
      </c>
      <c r="I436" s="251"/>
      <c r="J436" s="252" t="str">
        <f>'Оценка'!B439</f>
        <v/>
      </c>
      <c r="L436" s="253" t="str">
        <f t="shared" si="21"/>
        <v/>
      </c>
    </row>
    <row r="437">
      <c r="A437" s="247" t="str">
        <f>'Оценка'!C440</f>
        <v/>
      </c>
      <c r="B437" s="247" t="str">
        <f>'Оценка'!D440</f>
        <v/>
      </c>
      <c r="C437" s="249" t="str">
        <f t="shared" si="1"/>
        <v/>
      </c>
      <c r="D437" s="249" t="str">
        <f t="shared" si="2"/>
        <v/>
      </c>
      <c r="E437" s="249" t="str">
        <f t="shared" si="3"/>
        <v/>
      </c>
      <c r="F437" s="158" t="str">
        <f t="shared" si="4"/>
        <v/>
      </c>
      <c r="G437" s="247" t="str">
        <f>IF(A437&lt;&gt;"", 'Sales (Итоги оценки)'!$C$4, "")</f>
        <v/>
      </c>
      <c r="H437" s="249" t="str">
        <f t="shared" si="5"/>
        <v/>
      </c>
      <c r="I437" s="251"/>
      <c r="J437" s="252" t="str">
        <f>'Оценка'!B440</f>
        <v/>
      </c>
      <c r="L437" s="253" t="str">
        <f t="shared" si="21"/>
        <v/>
      </c>
    </row>
    <row r="438">
      <c r="A438" s="247" t="str">
        <f>'Оценка'!C441</f>
        <v/>
      </c>
      <c r="B438" s="247" t="str">
        <f>'Оценка'!D441</f>
        <v/>
      </c>
      <c r="C438" s="249" t="str">
        <f t="shared" si="1"/>
        <v/>
      </c>
      <c r="D438" s="249" t="str">
        <f t="shared" si="2"/>
        <v/>
      </c>
      <c r="E438" s="249" t="str">
        <f t="shared" si="3"/>
        <v/>
      </c>
      <c r="F438" s="158" t="str">
        <f t="shared" si="4"/>
        <v/>
      </c>
      <c r="G438" s="247" t="str">
        <f>IF(A438&lt;&gt;"", 'Sales (Итоги оценки)'!$C$4, "")</f>
        <v/>
      </c>
      <c r="H438" s="249" t="str">
        <f t="shared" si="5"/>
        <v/>
      </c>
      <c r="I438" s="251"/>
      <c r="J438" s="252" t="str">
        <f>'Оценка'!B441</f>
        <v/>
      </c>
      <c r="L438" s="253" t="str">
        <f t="shared" si="21"/>
        <v/>
      </c>
    </row>
    <row r="439">
      <c r="A439" s="247" t="str">
        <f>'Оценка'!C442</f>
        <v/>
      </c>
      <c r="B439" s="247" t="str">
        <f>'Оценка'!D442</f>
        <v/>
      </c>
      <c r="C439" s="249" t="str">
        <f t="shared" si="1"/>
        <v/>
      </c>
      <c r="D439" s="249" t="str">
        <f t="shared" si="2"/>
        <v/>
      </c>
      <c r="E439" s="249" t="str">
        <f t="shared" si="3"/>
        <v/>
      </c>
      <c r="F439" s="158" t="str">
        <f t="shared" si="4"/>
        <v/>
      </c>
      <c r="G439" s="247" t="str">
        <f>IF(A439&lt;&gt;"", 'Sales (Итоги оценки)'!$C$4, "")</f>
        <v/>
      </c>
      <c r="H439" s="249" t="str">
        <f t="shared" si="5"/>
        <v/>
      </c>
      <c r="I439" s="251"/>
      <c r="J439" s="252" t="str">
        <f>'Оценка'!B442</f>
        <v/>
      </c>
      <c r="L439" s="253" t="str">
        <f t="shared" si="21"/>
        <v/>
      </c>
    </row>
    <row r="440">
      <c r="A440" s="247" t="str">
        <f>'Оценка'!C443</f>
        <v/>
      </c>
      <c r="B440" s="247" t="str">
        <f>'Оценка'!D443</f>
        <v/>
      </c>
      <c r="C440" s="249" t="str">
        <f t="shared" si="1"/>
        <v/>
      </c>
      <c r="D440" s="249" t="str">
        <f t="shared" si="2"/>
        <v/>
      </c>
      <c r="E440" s="249" t="str">
        <f t="shared" si="3"/>
        <v/>
      </c>
      <c r="F440" s="158" t="str">
        <f t="shared" si="4"/>
        <v/>
      </c>
      <c r="G440" s="247" t="str">
        <f>IF(A440&lt;&gt;"", 'Sales (Итоги оценки)'!$C$4, "")</f>
        <v/>
      </c>
      <c r="H440" s="249" t="str">
        <f t="shared" si="5"/>
        <v/>
      </c>
      <c r="I440" s="251"/>
      <c r="J440" s="252" t="str">
        <f>'Оценка'!B443</f>
        <v/>
      </c>
      <c r="L440" s="253" t="str">
        <f t="shared" si="21"/>
        <v/>
      </c>
    </row>
    <row r="441">
      <c r="A441" s="247" t="str">
        <f>'Оценка'!C444</f>
        <v/>
      </c>
      <c r="B441" s="247" t="str">
        <f>'Оценка'!D444</f>
        <v/>
      </c>
      <c r="C441" s="249" t="str">
        <f t="shared" si="1"/>
        <v/>
      </c>
      <c r="D441" s="249" t="str">
        <f t="shared" si="2"/>
        <v/>
      </c>
      <c r="E441" s="249" t="str">
        <f t="shared" si="3"/>
        <v/>
      </c>
      <c r="F441" s="158" t="str">
        <f t="shared" si="4"/>
        <v/>
      </c>
      <c r="G441" s="247" t="str">
        <f>IF(A441&lt;&gt;"", 'Sales (Итоги оценки)'!$C$4, "")</f>
        <v/>
      </c>
      <c r="H441" s="249" t="str">
        <f t="shared" si="5"/>
        <v/>
      </c>
      <c r="I441" s="251"/>
      <c r="J441" s="252" t="str">
        <f>'Оценка'!B444</f>
        <v/>
      </c>
      <c r="L441" s="253" t="str">
        <f t="shared" si="21"/>
        <v/>
      </c>
    </row>
    <row r="442">
      <c r="A442" s="247" t="str">
        <f>'Оценка'!C445</f>
        <v/>
      </c>
      <c r="B442" s="247" t="str">
        <f>'Оценка'!D445</f>
        <v/>
      </c>
      <c r="C442" s="249" t="str">
        <f t="shared" si="1"/>
        <v/>
      </c>
      <c r="D442" s="249" t="str">
        <f t="shared" si="2"/>
        <v/>
      </c>
      <c r="E442" s="249" t="str">
        <f t="shared" si="3"/>
        <v/>
      </c>
      <c r="F442" s="158" t="str">
        <f t="shared" si="4"/>
        <v/>
      </c>
      <c r="G442" s="247" t="str">
        <f>IF(A442&lt;&gt;"", 'Sales (Итоги оценки)'!$C$4, "")</f>
        <v/>
      </c>
      <c r="H442" s="249" t="str">
        <f t="shared" si="5"/>
        <v/>
      </c>
      <c r="I442" s="251"/>
      <c r="J442" s="252" t="str">
        <f>'Оценка'!B445</f>
        <v/>
      </c>
      <c r="L442" s="253" t="str">
        <f t="shared" si="21"/>
        <v/>
      </c>
    </row>
    <row r="443">
      <c r="A443" s="247" t="str">
        <f>'Оценка'!C446</f>
        <v/>
      </c>
      <c r="B443" s="247" t="str">
        <f>'Оценка'!D446</f>
        <v/>
      </c>
      <c r="C443" s="249" t="str">
        <f t="shared" si="1"/>
        <v/>
      </c>
      <c r="D443" s="249" t="str">
        <f t="shared" si="2"/>
        <v/>
      </c>
      <c r="E443" s="249" t="str">
        <f t="shared" si="3"/>
        <v/>
      </c>
      <c r="F443" s="158" t="str">
        <f t="shared" si="4"/>
        <v/>
      </c>
      <c r="G443" s="247" t="str">
        <f>IF(A443&lt;&gt;"", 'Sales (Итоги оценки)'!$C$4, "")</f>
        <v/>
      </c>
      <c r="H443" s="249" t="str">
        <f t="shared" si="5"/>
        <v/>
      </c>
      <c r="I443" s="251"/>
      <c r="J443" s="252" t="str">
        <f>'Оценка'!B446</f>
        <v/>
      </c>
      <c r="L443" s="253" t="str">
        <f t="shared" si="21"/>
        <v/>
      </c>
    </row>
    <row r="444">
      <c r="A444" s="247" t="str">
        <f>'Оценка'!C447</f>
        <v/>
      </c>
      <c r="B444" s="247" t="str">
        <f>'Оценка'!D447</f>
        <v/>
      </c>
      <c r="C444" s="249" t="str">
        <f t="shared" si="1"/>
        <v/>
      </c>
      <c r="D444" s="249" t="str">
        <f t="shared" si="2"/>
        <v/>
      </c>
      <c r="E444" s="249" t="str">
        <f t="shared" si="3"/>
        <v/>
      </c>
      <c r="F444" s="158" t="str">
        <f t="shared" si="4"/>
        <v/>
      </c>
      <c r="G444" s="247" t="str">
        <f>IF(A444&lt;&gt;"", 'Sales (Итоги оценки)'!$C$4, "")</f>
        <v/>
      </c>
      <c r="H444" s="249" t="str">
        <f t="shared" si="5"/>
        <v/>
      </c>
      <c r="I444" s="251"/>
      <c r="J444" s="252" t="str">
        <f>'Оценка'!B447</f>
        <v/>
      </c>
      <c r="L444" s="253" t="str">
        <f t="shared" si="21"/>
        <v/>
      </c>
    </row>
    <row r="445">
      <c r="A445" s="247" t="str">
        <f>'Оценка'!C448</f>
        <v/>
      </c>
      <c r="B445" s="247" t="str">
        <f>'Оценка'!D448</f>
        <v/>
      </c>
      <c r="C445" s="249" t="str">
        <f t="shared" si="1"/>
        <v/>
      </c>
      <c r="D445" s="249" t="str">
        <f t="shared" si="2"/>
        <v/>
      </c>
      <c r="E445" s="249" t="str">
        <f t="shared" si="3"/>
        <v/>
      </c>
      <c r="F445" s="158" t="str">
        <f t="shared" si="4"/>
        <v/>
      </c>
      <c r="G445" s="247" t="str">
        <f>IF(A445&lt;&gt;"", 'Sales (Итоги оценки)'!$C$4, "")</f>
        <v/>
      </c>
      <c r="H445" s="249" t="str">
        <f t="shared" si="5"/>
        <v/>
      </c>
      <c r="I445" s="251"/>
      <c r="J445" s="252" t="str">
        <f>'Оценка'!B448</f>
        <v/>
      </c>
      <c r="L445" s="253" t="str">
        <f t="shared" si="21"/>
        <v/>
      </c>
    </row>
    <row r="446">
      <c r="A446" s="247" t="str">
        <f>'Оценка'!C449</f>
        <v/>
      </c>
      <c r="B446" s="247" t="str">
        <f>'Оценка'!D449</f>
        <v/>
      </c>
      <c r="C446" s="249" t="str">
        <f t="shared" si="1"/>
        <v/>
      </c>
      <c r="D446" s="249" t="str">
        <f t="shared" si="2"/>
        <v/>
      </c>
      <c r="E446" s="249" t="str">
        <f t="shared" si="3"/>
        <v/>
      </c>
      <c r="F446" s="158" t="str">
        <f t="shared" si="4"/>
        <v/>
      </c>
      <c r="G446" s="247" t="str">
        <f>IF(A446&lt;&gt;"", 'Sales (Итоги оценки)'!$C$4, "")</f>
        <v/>
      </c>
      <c r="H446" s="249" t="str">
        <f t="shared" si="5"/>
        <v/>
      </c>
      <c r="I446" s="251"/>
      <c r="J446" s="252" t="str">
        <f>'Оценка'!B449</f>
        <v/>
      </c>
      <c r="L446" s="253" t="str">
        <f t="shared" si="21"/>
        <v/>
      </c>
    </row>
    <row r="447">
      <c r="A447" s="247" t="str">
        <f>'Оценка'!C450</f>
        <v/>
      </c>
      <c r="B447" s="247" t="str">
        <f>'Оценка'!D450</f>
        <v/>
      </c>
      <c r="C447" s="249" t="str">
        <f t="shared" si="1"/>
        <v/>
      </c>
      <c r="D447" s="249" t="str">
        <f t="shared" si="2"/>
        <v/>
      </c>
      <c r="E447" s="249" t="str">
        <f t="shared" si="3"/>
        <v/>
      </c>
      <c r="F447" s="158" t="str">
        <f t="shared" si="4"/>
        <v/>
      </c>
      <c r="G447" s="247" t="str">
        <f>IF(A447&lt;&gt;"", 'Sales (Итоги оценки)'!$C$4, "")</f>
        <v/>
      </c>
      <c r="H447" s="249" t="str">
        <f t="shared" si="5"/>
        <v/>
      </c>
      <c r="I447" s="251"/>
      <c r="J447" s="252" t="str">
        <f>'Оценка'!B450</f>
        <v/>
      </c>
      <c r="L447" s="253" t="str">
        <f t="shared" si="21"/>
        <v/>
      </c>
    </row>
    <row r="448">
      <c r="A448" s="247" t="str">
        <f>'Оценка'!C451</f>
        <v/>
      </c>
      <c r="B448" s="247" t="str">
        <f>'Оценка'!D451</f>
        <v/>
      </c>
      <c r="C448" s="249" t="str">
        <f t="shared" si="1"/>
        <v/>
      </c>
      <c r="D448" s="249" t="str">
        <f t="shared" si="2"/>
        <v/>
      </c>
      <c r="E448" s="249" t="str">
        <f t="shared" si="3"/>
        <v/>
      </c>
      <c r="F448" s="158" t="str">
        <f t="shared" si="4"/>
        <v/>
      </c>
      <c r="G448" s="247" t="str">
        <f>IF(A448&lt;&gt;"", 'Sales (Итоги оценки)'!$C$4, "")</f>
        <v/>
      </c>
      <c r="H448" s="249" t="str">
        <f t="shared" si="5"/>
        <v/>
      </c>
      <c r="I448" s="251"/>
      <c r="J448" s="252" t="str">
        <f>'Оценка'!B451</f>
        <v/>
      </c>
      <c r="L448" s="253" t="str">
        <f t="shared" si="21"/>
        <v/>
      </c>
    </row>
    <row r="449">
      <c r="A449" s="247" t="str">
        <f>'Оценка'!C452</f>
        <v/>
      </c>
      <c r="B449" s="247" t="str">
        <f>'Оценка'!D452</f>
        <v/>
      </c>
      <c r="C449" s="249" t="str">
        <f t="shared" si="1"/>
        <v/>
      </c>
      <c r="D449" s="249" t="str">
        <f t="shared" si="2"/>
        <v/>
      </c>
      <c r="E449" s="249" t="str">
        <f t="shared" si="3"/>
        <v/>
      </c>
      <c r="F449" s="158" t="str">
        <f t="shared" si="4"/>
        <v/>
      </c>
      <c r="G449" s="247" t="str">
        <f>IF(A449&lt;&gt;"", 'Sales (Итоги оценки)'!$C$4, "")</f>
        <v/>
      </c>
      <c r="H449" s="249" t="str">
        <f t="shared" si="5"/>
        <v/>
      </c>
      <c r="I449" s="251"/>
      <c r="J449" s="252" t="str">
        <f>'Оценка'!B452</f>
        <v/>
      </c>
      <c r="L449" s="253" t="str">
        <f t="shared" si="21"/>
        <v/>
      </c>
    </row>
    <row r="450">
      <c r="A450" s="247" t="str">
        <f>'Оценка'!C453</f>
        <v/>
      </c>
      <c r="B450" s="247" t="str">
        <f>'Оценка'!D453</f>
        <v/>
      </c>
      <c r="C450" s="249" t="str">
        <f t="shared" si="1"/>
        <v/>
      </c>
      <c r="D450" s="249" t="str">
        <f t="shared" si="2"/>
        <v/>
      </c>
      <c r="E450" s="249" t="str">
        <f t="shared" si="3"/>
        <v/>
      </c>
      <c r="F450" s="158" t="str">
        <f t="shared" si="4"/>
        <v/>
      </c>
      <c r="G450" s="247" t="str">
        <f>IF(A450&lt;&gt;"", 'Sales (Итоги оценки)'!$C$4, "")</f>
        <v/>
      </c>
      <c r="H450" s="249" t="str">
        <f t="shared" si="5"/>
        <v/>
      </c>
      <c r="I450" s="251"/>
      <c r="J450" s="252" t="str">
        <f>'Оценка'!B453</f>
        <v/>
      </c>
      <c r="L450" s="253" t="str">
        <f t="shared" si="21"/>
        <v/>
      </c>
    </row>
    <row r="451">
      <c r="A451" s="247" t="str">
        <f>'Оценка'!C454</f>
        <v/>
      </c>
      <c r="B451" s="247" t="str">
        <f>'Оценка'!D454</f>
        <v/>
      </c>
      <c r="C451" s="249" t="str">
        <f t="shared" si="1"/>
        <v/>
      </c>
      <c r="D451" s="249" t="str">
        <f t="shared" si="2"/>
        <v/>
      </c>
      <c r="E451" s="249" t="str">
        <f t="shared" si="3"/>
        <v/>
      </c>
      <c r="F451" s="158" t="str">
        <f t="shared" si="4"/>
        <v/>
      </c>
      <c r="G451" s="247" t="str">
        <f>IF(A451&lt;&gt;"", 'Sales (Итоги оценки)'!$C$4, "")</f>
        <v/>
      </c>
      <c r="H451" s="249" t="str">
        <f t="shared" si="5"/>
        <v/>
      </c>
      <c r="I451" s="251"/>
      <c r="J451" s="252" t="str">
        <f>'Оценка'!B454</f>
        <v/>
      </c>
      <c r="L451" s="253" t="str">
        <f t="shared" si="21"/>
        <v/>
      </c>
    </row>
    <row r="452">
      <c r="A452" s="247" t="str">
        <f>'Оценка'!C455</f>
        <v/>
      </c>
      <c r="B452" s="247" t="str">
        <f>'Оценка'!D455</f>
        <v/>
      </c>
      <c r="C452" s="249" t="str">
        <f t="shared" si="1"/>
        <v/>
      </c>
      <c r="D452" s="249" t="str">
        <f t="shared" si="2"/>
        <v/>
      </c>
      <c r="E452" s="249" t="str">
        <f t="shared" si="3"/>
        <v/>
      </c>
      <c r="F452" s="158" t="str">
        <f t="shared" si="4"/>
        <v/>
      </c>
      <c r="G452" s="247" t="str">
        <f>IF(A452&lt;&gt;"", 'Sales (Итоги оценки)'!$C$4, "")</f>
        <v/>
      </c>
      <c r="H452" s="249" t="str">
        <f t="shared" si="5"/>
        <v/>
      </c>
      <c r="I452" s="251"/>
      <c r="J452" s="252" t="str">
        <f>'Оценка'!B455</f>
        <v/>
      </c>
      <c r="L452" s="253" t="str">
        <f t="shared" si="21"/>
        <v/>
      </c>
    </row>
    <row r="453">
      <c r="A453" s="247" t="str">
        <f>'Оценка'!C456</f>
        <v/>
      </c>
      <c r="B453" s="247" t="str">
        <f>'Оценка'!D456</f>
        <v/>
      </c>
      <c r="C453" s="249" t="str">
        <f t="shared" si="1"/>
        <v/>
      </c>
      <c r="D453" s="249" t="str">
        <f t="shared" si="2"/>
        <v/>
      </c>
      <c r="E453" s="249" t="str">
        <f t="shared" si="3"/>
        <v/>
      </c>
      <c r="F453" s="158" t="str">
        <f t="shared" si="4"/>
        <v/>
      </c>
      <c r="G453" s="247" t="str">
        <f>IF(A453&lt;&gt;"", 'Sales (Итоги оценки)'!$C$4, "")</f>
        <v/>
      </c>
      <c r="H453" s="249" t="str">
        <f t="shared" si="5"/>
        <v/>
      </c>
      <c r="I453" s="251"/>
      <c r="J453" s="252" t="str">
        <f>'Оценка'!B456</f>
        <v/>
      </c>
      <c r="L453" s="253" t="str">
        <f t="shared" si="21"/>
        <v/>
      </c>
    </row>
    <row r="454">
      <c r="A454" s="247" t="str">
        <f>'Оценка'!C457</f>
        <v/>
      </c>
      <c r="B454" s="247" t="str">
        <f>'Оценка'!D457</f>
        <v/>
      </c>
      <c r="C454" s="249" t="str">
        <f t="shared" si="1"/>
        <v/>
      </c>
      <c r="D454" s="249" t="str">
        <f t="shared" si="2"/>
        <v/>
      </c>
      <c r="E454" s="249" t="str">
        <f t="shared" si="3"/>
        <v/>
      </c>
      <c r="F454" s="158" t="str">
        <f t="shared" si="4"/>
        <v/>
      </c>
      <c r="G454" s="247" t="str">
        <f>IF(A454&lt;&gt;"", 'Sales (Итоги оценки)'!$C$4, "")</f>
        <v/>
      </c>
      <c r="H454" s="249" t="str">
        <f t="shared" si="5"/>
        <v/>
      </c>
      <c r="I454" s="251"/>
      <c r="J454" s="252" t="str">
        <f>'Оценка'!B457</f>
        <v/>
      </c>
      <c r="L454" s="253" t="str">
        <f t="shared" si="21"/>
        <v/>
      </c>
    </row>
    <row r="455">
      <c r="A455" s="247" t="str">
        <f>'Оценка'!C458</f>
        <v/>
      </c>
      <c r="B455" s="247" t="str">
        <f>'Оценка'!D458</f>
        <v/>
      </c>
      <c r="C455" s="249" t="str">
        <f t="shared" si="1"/>
        <v/>
      </c>
      <c r="D455" s="249" t="str">
        <f t="shared" si="2"/>
        <v/>
      </c>
      <c r="E455" s="249" t="str">
        <f t="shared" si="3"/>
        <v/>
      </c>
      <c r="F455" s="158" t="str">
        <f t="shared" si="4"/>
        <v/>
      </c>
      <c r="G455" s="247" t="str">
        <f>IF(A455&lt;&gt;"", 'Sales (Итоги оценки)'!$C$4, "")</f>
        <v/>
      </c>
      <c r="H455" s="249" t="str">
        <f t="shared" si="5"/>
        <v/>
      </c>
      <c r="I455" s="251"/>
      <c r="J455" s="252" t="str">
        <f>'Оценка'!B458</f>
        <v/>
      </c>
      <c r="L455" s="253" t="str">
        <f t="shared" si="21"/>
        <v/>
      </c>
    </row>
    <row r="456">
      <c r="A456" s="247" t="str">
        <f>'Оценка'!C459</f>
        <v/>
      </c>
      <c r="B456" s="247" t="str">
        <f>'Оценка'!D459</f>
        <v/>
      </c>
      <c r="C456" s="249" t="str">
        <f t="shared" si="1"/>
        <v/>
      </c>
      <c r="D456" s="249" t="str">
        <f t="shared" si="2"/>
        <v/>
      </c>
      <c r="E456" s="249" t="str">
        <f t="shared" si="3"/>
        <v/>
      </c>
      <c r="F456" s="158" t="str">
        <f t="shared" si="4"/>
        <v/>
      </c>
      <c r="G456" s="247" t="str">
        <f>IF(A456&lt;&gt;"", 'Sales (Итоги оценки)'!$C$4, "")</f>
        <v/>
      </c>
      <c r="H456" s="249" t="str">
        <f t="shared" si="5"/>
        <v/>
      </c>
      <c r="I456" s="251"/>
      <c r="J456" s="252" t="str">
        <f>'Оценка'!B459</f>
        <v/>
      </c>
      <c r="L456" s="253" t="str">
        <f t="shared" si="21"/>
        <v/>
      </c>
    </row>
    <row r="457">
      <c r="A457" s="247" t="str">
        <f>'Оценка'!C460</f>
        <v/>
      </c>
      <c r="B457" s="247" t="str">
        <f>'Оценка'!D460</f>
        <v/>
      </c>
      <c r="C457" s="249" t="str">
        <f t="shared" si="1"/>
        <v/>
      </c>
      <c r="D457" s="249" t="str">
        <f t="shared" si="2"/>
        <v/>
      </c>
      <c r="E457" s="249" t="str">
        <f t="shared" si="3"/>
        <v/>
      </c>
      <c r="F457" s="158" t="str">
        <f t="shared" si="4"/>
        <v/>
      </c>
      <c r="G457" s="247" t="str">
        <f>IF(A457&lt;&gt;"", 'Sales (Итоги оценки)'!$C$4, "")</f>
        <v/>
      </c>
      <c r="H457" s="249" t="str">
        <f t="shared" si="5"/>
        <v/>
      </c>
      <c r="I457" s="251"/>
      <c r="J457" s="252" t="str">
        <f>'Оценка'!B460</f>
        <v/>
      </c>
      <c r="L457" s="253" t="str">
        <f t="shared" si="21"/>
        <v/>
      </c>
    </row>
    <row r="458">
      <c r="A458" s="247" t="str">
        <f>'Оценка'!C461</f>
        <v/>
      </c>
      <c r="B458" s="247" t="str">
        <f>'Оценка'!D461</f>
        <v/>
      </c>
      <c r="C458" s="249" t="str">
        <f t="shared" si="1"/>
        <v/>
      </c>
      <c r="D458" s="249" t="str">
        <f t="shared" si="2"/>
        <v/>
      </c>
      <c r="E458" s="249" t="str">
        <f t="shared" si="3"/>
        <v/>
      </c>
      <c r="F458" s="158" t="str">
        <f t="shared" si="4"/>
        <v/>
      </c>
      <c r="G458" s="247" t="str">
        <f>IF(A458&lt;&gt;"", 'Sales (Итоги оценки)'!$C$4, "")</f>
        <v/>
      </c>
      <c r="H458" s="249" t="str">
        <f t="shared" si="5"/>
        <v/>
      </c>
      <c r="I458" s="251"/>
      <c r="J458" s="252" t="str">
        <f>'Оценка'!B461</f>
        <v/>
      </c>
      <c r="L458" s="253" t="str">
        <f t="shared" si="21"/>
        <v/>
      </c>
    </row>
    <row r="459">
      <c r="A459" s="247" t="str">
        <f>'Оценка'!C462</f>
        <v/>
      </c>
      <c r="B459" s="247" t="str">
        <f>'Оценка'!D462</f>
        <v/>
      </c>
      <c r="C459" s="249" t="str">
        <f t="shared" si="1"/>
        <v/>
      </c>
      <c r="D459" s="249" t="str">
        <f t="shared" si="2"/>
        <v/>
      </c>
      <c r="E459" s="249" t="str">
        <f t="shared" si="3"/>
        <v/>
      </c>
      <c r="F459" s="158" t="str">
        <f t="shared" si="4"/>
        <v/>
      </c>
      <c r="G459" s="247" t="str">
        <f>IF(A459&lt;&gt;"", 'Sales (Итоги оценки)'!$C$4, "")</f>
        <v/>
      </c>
      <c r="H459" s="249" t="str">
        <f t="shared" si="5"/>
        <v/>
      </c>
      <c r="I459" s="251"/>
      <c r="J459" s="252" t="str">
        <f>'Оценка'!B462</f>
        <v/>
      </c>
      <c r="L459" s="253" t="str">
        <f t="shared" si="21"/>
        <v/>
      </c>
    </row>
    <row r="460">
      <c r="A460" s="247" t="str">
        <f>'Оценка'!C463</f>
        <v/>
      </c>
      <c r="B460" s="247" t="str">
        <f>'Оценка'!D463</f>
        <v/>
      </c>
      <c r="C460" s="249" t="str">
        <f t="shared" si="1"/>
        <v/>
      </c>
      <c r="D460" s="249" t="str">
        <f t="shared" si="2"/>
        <v/>
      </c>
      <c r="E460" s="249" t="str">
        <f t="shared" si="3"/>
        <v/>
      </c>
      <c r="F460" s="158" t="str">
        <f t="shared" si="4"/>
        <v/>
      </c>
      <c r="G460" s="247" t="str">
        <f>IF(A460&lt;&gt;"", 'Sales (Итоги оценки)'!$C$4, "")</f>
        <v/>
      </c>
      <c r="H460" s="249" t="str">
        <f t="shared" si="5"/>
        <v/>
      </c>
      <c r="I460" s="251"/>
      <c r="J460" s="252" t="str">
        <f>'Оценка'!B463</f>
        <v/>
      </c>
      <c r="L460" s="253" t="str">
        <f t="shared" si="21"/>
        <v/>
      </c>
    </row>
    <row r="461">
      <c r="A461" s="247" t="str">
        <f>'Оценка'!C464</f>
        <v/>
      </c>
      <c r="B461" s="247" t="str">
        <f>'Оценка'!D464</f>
        <v/>
      </c>
      <c r="C461" s="249" t="str">
        <f t="shared" si="1"/>
        <v/>
      </c>
      <c r="D461" s="249" t="str">
        <f t="shared" si="2"/>
        <v/>
      </c>
      <c r="E461" s="249" t="str">
        <f t="shared" si="3"/>
        <v/>
      </c>
      <c r="F461" s="158" t="str">
        <f t="shared" si="4"/>
        <v/>
      </c>
      <c r="G461" s="247" t="str">
        <f>IF(A461&lt;&gt;"", 'Sales (Итоги оценки)'!$C$4, "")</f>
        <v/>
      </c>
      <c r="H461" s="249" t="str">
        <f t="shared" si="5"/>
        <v/>
      </c>
      <c r="I461" s="251"/>
      <c r="J461" s="252" t="str">
        <f>'Оценка'!B464</f>
        <v/>
      </c>
      <c r="L461" s="253" t="str">
        <f t="shared" si="21"/>
        <v/>
      </c>
    </row>
    <row r="462">
      <c r="A462" s="247" t="str">
        <f>'Оценка'!C465</f>
        <v/>
      </c>
      <c r="B462" s="247" t="str">
        <f>'Оценка'!D465</f>
        <v/>
      </c>
      <c r="C462" s="249" t="str">
        <f t="shared" si="1"/>
        <v/>
      </c>
      <c r="D462" s="249" t="str">
        <f t="shared" si="2"/>
        <v/>
      </c>
      <c r="E462" s="249" t="str">
        <f t="shared" si="3"/>
        <v/>
      </c>
      <c r="F462" s="158" t="str">
        <f t="shared" si="4"/>
        <v/>
      </c>
      <c r="G462" s="247" t="str">
        <f>IF(A462&lt;&gt;"", 'Sales (Итоги оценки)'!$C$4, "")</f>
        <v/>
      </c>
      <c r="H462" s="249" t="str">
        <f t="shared" si="5"/>
        <v/>
      </c>
      <c r="I462" s="251"/>
      <c r="J462" s="252" t="str">
        <f>'Оценка'!B465</f>
        <v/>
      </c>
      <c r="L462" s="253" t="str">
        <f t="shared" si="21"/>
        <v/>
      </c>
    </row>
    <row r="463">
      <c r="A463" s="247" t="str">
        <f>'Оценка'!C466</f>
        <v/>
      </c>
      <c r="B463" s="247" t="str">
        <f>'Оценка'!D466</f>
        <v/>
      </c>
      <c r="C463" s="249" t="str">
        <f t="shared" si="1"/>
        <v/>
      </c>
      <c r="D463" s="249" t="str">
        <f t="shared" si="2"/>
        <v/>
      </c>
      <c r="E463" s="249" t="str">
        <f t="shared" si="3"/>
        <v/>
      </c>
      <c r="F463" s="158" t="str">
        <f t="shared" si="4"/>
        <v/>
      </c>
      <c r="G463" s="247" t="str">
        <f>IF(A463&lt;&gt;"", 'Sales (Итоги оценки)'!$C$4, "")</f>
        <v/>
      </c>
      <c r="H463" s="249" t="str">
        <f t="shared" si="5"/>
        <v/>
      </c>
      <c r="I463" s="251"/>
      <c r="J463" s="252" t="str">
        <f>'Оценка'!B466</f>
        <v/>
      </c>
      <c r="L463" s="253" t="str">
        <f t="shared" si="21"/>
        <v/>
      </c>
    </row>
    <row r="464">
      <c r="A464" s="247" t="str">
        <f>'Оценка'!C467</f>
        <v/>
      </c>
      <c r="B464" s="247" t="str">
        <f>'Оценка'!D467</f>
        <v/>
      </c>
      <c r="C464" s="249" t="str">
        <f t="shared" si="1"/>
        <v/>
      </c>
      <c r="D464" s="249" t="str">
        <f t="shared" si="2"/>
        <v/>
      </c>
      <c r="E464" s="249" t="str">
        <f t="shared" si="3"/>
        <v/>
      </c>
      <c r="F464" s="158" t="str">
        <f t="shared" si="4"/>
        <v/>
      </c>
      <c r="G464" s="247" t="str">
        <f>IF(A464&lt;&gt;"", 'Sales (Итоги оценки)'!$C$4, "")</f>
        <v/>
      </c>
      <c r="H464" s="249" t="str">
        <f t="shared" si="5"/>
        <v/>
      </c>
      <c r="I464" s="251"/>
      <c r="J464" s="252" t="str">
        <f>'Оценка'!B467</f>
        <v/>
      </c>
      <c r="L464" s="253" t="str">
        <f t="shared" si="21"/>
        <v/>
      </c>
    </row>
    <row r="465">
      <c r="A465" s="247" t="str">
        <f>'Оценка'!C468</f>
        <v/>
      </c>
      <c r="B465" s="247" t="str">
        <f>'Оценка'!D468</f>
        <v/>
      </c>
      <c r="C465" s="249" t="str">
        <f t="shared" si="1"/>
        <v/>
      </c>
      <c r="D465" s="249" t="str">
        <f t="shared" si="2"/>
        <v/>
      </c>
      <c r="E465" s="249" t="str">
        <f t="shared" si="3"/>
        <v/>
      </c>
      <c r="F465" s="158" t="str">
        <f t="shared" si="4"/>
        <v/>
      </c>
      <c r="G465" s="247" t="str">
        <f>IF(A465&lt;&gt;"", 'Sales (Итоги оценки)'!$C$4, "")</f>
        <v/>
      </c>
      <c r="H465" s="249" t="str">
        <f t="shared" si="5"/>
        <v/>
      </c>
      <c r="I465" s="251"/>
      <c r="J465" s="252" t="str">
        <f>'Оценка'!B468</f>
        <v/>
      </c>
      <c r="L465" s="253" t="str">
        <f t="shared" si="21"/>
        <v/>
      </c>
    </row>
    <row r="466">
      <c r="A466" s="247" t="str">
        <f>'Оценка'!C469</f>
        <v/>
      </c>
      <c r="B466" s="247" t="str">
        <f>'Оценка'!D469</f>
        <v/>
      </c>
      <c r="C466" s="249" t="str">
        <f t="shared" si="1"/>
        <v/>
      </c>
      <c r="D466" s="249" t="str">
        <f t="shared" si="2"/>
        <v/>
      </c>
      <c r="E466" s="249" t="str">
        <f t="shared" si="3"/>
        <v/>
      </c>
      <c r="F466" s="158" t="str">
        <f t="shared" si="4"/>
        <v/>
      </c>
      <c r="G466" s="247" t="str">
        <f>IF(A466&lt;&gt;"", 'Sales (Итоги оценки)'!$C$4, "")</f>
        <v/>
      </c>
      <c r="H466" s="249" t="str">
        <f t="shared" si="5"/>
        <v/>
      </c>
      <c r="I466" s="251"/>
      <c r="J466" s="252" t="str">
        <f>'Оценка'!B469</f>
        <v/>
      </c>
      <c r="L466" s="253" t="str">
        <f t="shared" si="21"/>
        <v/>
      </c>
    </row>
    <row r="467">
      <c r="B467" s="247" t="str">
        <f>'Оценка'!D470</f>
        <v/>
      </c>
      <c r="C467" s="249" t="str">
        <f t="shared" si="1"/>
        <v/>
      </c>
      <c r="D467" s="249" t="str">
        <f t="shared" si="2"/>
        <v/>
      </c>
      <c r="E467" s="249" t="str">
        <f t="shared" si="3"/>
        <v/>
      </c>
      <c r="F467" s="158" t="str">
        <f t="shared" si="4"/>
        <v/>
      </c>
      <c r="G467" s="247" t="str">
        <f>IF(A467&lt;&gt;"", 'Sales (Итоги оценки)'!$C$4, "")</f>
        <v/>
      </c>
      <c r="H467" s="249" t="str">
        <f t="shared" si="5"/>
        <v/>
      </c>
      <c r="I467" s="251"/>
      <c r="J467" s="252" t="str">
        <f>'Оценка'!B470</f>
        <v/>
      </c>
      <c r="L467" s="253" t="str">
        <f t="shared" si="21"/>
        <v/>
      </c>
    </row>
    <row r="468">
      <c r="B468" s="247" t="str">
        <f>'Оценка'!D471</f>
        <v/>
      </c>
      <c r="C468" s="249" t="str">
        <f t="shared" si="1"/>
        <v/>
      </c>
      <c r="D468" s="249" t="str">
        <f t="shared" si="2"/>
        <v/>
      </c>
      <c r="E468" s="249" t="str">
        <f t="shared" si="3"/>
        <v/>
      </c>
      <c r="F468" s="158" t="str">
        <f t="shared" si="4"/>
        <v/>
      </c>
      <c r="G468" s="247" t="str">
        <f>IF(A468&lt;&gt;"", 'Sales (Итоги оценки)'!$C$4, "")</f>
        <v/>
      </c>
      <c r="H468" s="249" t="str">
        <f t="shared" si="5"/>
        <v/>
      </c>
      <c r="I468" s="251"/>
      <c r="J468" s="252" t="str">
        <f>'Оценка'!B471</f>
        <v/>
      </c>
      <c r="L468" s="253" t="str">
        <f t="shared" si="21"/>
        <v/>
      </c>
    </row>
    <row r="469">
      <c r="B469" s="247" t="str">
        <f>'Оценка'!D472</f>
        <v/>
      </c>
      <c r="C469" s="249" t="str">
        <f t="shared" si="1"/>
        <v/>
      </c>
      <c r="D469" s="249" t="str">
        <f t="shared" si="2"/>
        <v/>
      </c>
      <c r="E469" s="249" t="str">
        <f t="shared" si="3"/>
        <v/>
      </c>
      <c r="F469" s="158" t="str">
        <f t="shared" si="4"/>
        <v/>
      </c>
      <c r="G469" s="247" t="str">
        <f>IF(A469&lt;&gt;"", 'Sales (Итоги оценки)'!$C$4, "")</f>
        <v/>
      </c>
      <c r="H469" s="249" t="str">
        <f t="shared" si="5"/>
        <v/>
      </c>
      <c r="I469" s="251"/>
      <c r="J469" s="252" t="str">
        <f>'Оценка'!B472</f>
        <v/>
      </c>
      <c r="L469" s="253" t="str">
        <f t="shared" si="21"/>
        <v/>
      </c>
    </row>
    <row r="470">
      <c r="B470" s="247" t="str">
        <f>'Оценка'!D473</f>
        <v/>
      </c>
      <c r="C470" s="249" t="str">
        <f t="shared" si="1"/>
        <v/>
      </c>
      <c r="D470" s="249" t="str">
        <f t="shared" si="2"/>
        <v/>
      </c>
      <c r="E470" s="249" t="str">
        <f t="shared" si="3"/>
        <v/>
      </c>
      <c r="F470" s="158" t="str">
        <f t="shared" si="4"/>
        <v/>
      </c>
      <c r="G470" s="247" t="str">
        <f>IF(A470&lt;&gt;"", 'Sales (Итоги оценки)'!$C$4, "")</f>
        <v/>
      </c>
      <c r="H470" s="249" t="str">
        <f t="shared" si="5"/>
        <v/>
      </c>
      <c r="I470" s="251"/>
      <c r="J470" s="252" t="str">
        <f>'Оценка'!B473</f>
        <v/>
      </c>
      <c r="L470" s="253" t="str">
        <f t="shared" si="21"/>
        <v/>
      </c>
    </row>
    <row r="471">
      <c r="B471" s="247" t="str">
        <f>'Оценка'!D474</f>
        <v/>
      </c>
      <c r="C471" s="249" t="str">
        <f t="shared" si="1"/>
        <v/>
      </c>
      <c r="D471" s="249" t="str">
        <f t="shared" si="2"/>
        <v/>
      </c>
      <c r="E471" s="249" t="str">
        <f t="shared" si="3"/>
        <v/>
      </c>
      <c r="F471" s="158" t="str">
        <f t="shared" si="4"/>
        <v/>
      </c>
      <c r="G471" s="247" t="str">
        <f>IF(A471&lt;&gt;"", 'Sales (Итоги оценки)'!$C$4, "")</f>
        <v/>
      </c>
      <c r="H471" s="249" t="str">
        <f t="shared" si="5"/>
        <v/>
      </c>
      <c r="I471" s="251"/>
      <c r="J471" s="252" t="str">
        <f>'Оценка'!B474</f>
        <v/>
      </c>
      <c r="L471" s="253" t="str">
        <f t="shared" si="21"/>
        <v/>
      </c>
    </row>
    <row r="472">
      <c r="B472" s="247" t="str">
        <f>'Оценка'!D475</f>
        <v/>
      </c>
      <c r="C472" s="249" t="str">
        <f t="shared" si="1"/>
        <v/>
      </c>
      <c r="D472" s="249" t="str">
        <f t="shared" si="2"/>
        <v/>
      </c>
      <c r="E472" s="249" t="str">
        <f t="shared" si="3"/>
        <v/>
      </c>
      <c r="F472" s="158" t="str">
        <f t="shared" si="4"/>
        <v/>
      </c>
      <c r="G472" s="247" t="str">
        <f>IF(A472&lt;&gt;"", 'Sales (Итоги оценки)'!$C$4, "")</f>
        <v/>
      </c>
      <c r="H472" s="249" t="str">
        <f t="shared" si="5"/>
        <v/>
      </c>
      <c r="I472" s="251"/>
      <c r="J472" s="252" t="str">
        <f>'Оценка'!B475</f>
        <v/>
      </c>
      <c r="L472" s="253" t="str">
        <f t="shared" si="21"/>
        <v/>
      </c>
    </row>
    <row r="473">
      <c r="B473" s="247" t="str">
        <f>'Оценка'!D476</f>
        <v/>
      </c>
      <c r="C473" s="249" t="str">
        <f t="shared" si="1"/>
        <v/>
      </c>
      <c r="D473" s="249" t="str">
        <f t="shared" si="2"/>
        <v/>
      </c>
      <c r="E473" s="249" t="str">
        <f t="shared" si="3"/>
        <v/>
      </c>
      <c r="F473" s="158" t="str">
        <f t="shared" si="4"/>
        <v/>
      </c>
      <c r="G473" s="247" t="str">
        <f>IF(A473&lt;&gt;"", 'Sales (Итоги оценки)'!$C$4, "")</f>
        <v/>
      </c>
      <c r="H473" s="249" t="str">
        <f t="shared" si="5"/>
        <v/>
      </c>
      <c r="I473" s="251"/>
      <c r="J473" s="252" t="str">
        <f>'Оценка'!B476</f>
        <v/>
      </c>
      <c r="L473" s="253" t="str">
        <f t="shared" si="21"/>
        <v/>
      </c>
    </row>
    <row r="474">
      <c r="B474" s="247" t="str">
        <f>'Оценка'!D477</f>
        <v/>
      </c>
      <c r="C474" s="249" t="str">
        <f t="shared" si="1"/>
        <v/>
      </c>
      <c r="D474" s="249" t="str">
        <f t="shared" si="2"/>
        <v/>
      </c>
      <c r="E474" s="249" t="str">
        <f t="shared" si="3"/>
        <v/>
      </c>
      <c r="F474" s="158" t="str">
        <f t="shared" si="4"/>
        <v/>
      </c>
      <c r="G474" s="247" t="str">
        <f>IF(A474&lt;&gt;"", 'Sales (Итоги оценки)'!$C$4, "")</f>
        <v/>
      </c>
      <c r="H474" s="249" t="str">
        <f t="shared" si="5"/>
        <v/>
      </c>
      <c r="I474" s="251"/>
      <c r="J474" s="252" t="str">
        <f>'Оценка'!B477</f>
        <v/>
      </c>
      <c r="L474" s="253" t="str">
        <f t="shared" si="21"/>
        <v/>
      </c>
    </row>
    <row r="475">
      <c r="B475" s="247" t="str">
        <f>'Оценка'!D478</f>
        <v/>
      </c>
      <c r="C475" s="249" t="str">
        <f t="shared" si="1"/>
        <v/>
      </c>
      <c r="D475" s="249" t="str">
        <f t="shared" si="2"/>
        <v/>
      </c>
      <c r="E475" s="249" t="str">
        <f t="shared" si="3"/>
        <v/>
      </c>
      <c r="F475" s="158" t="str">
        <f t="shared" si="4"/>
        <v/>
      </c>
      <c r="G475" s="247" t="str">
        <f>IF(A475&lt;&gt;"", 'Sales (Итоги оценки)'!$C$4, "")</f>
        <v/>
      </c>
      <c r="H475" s="249" t="str">
        <f t="shared" si="5"/>
        <v/>
      </c>
      <c r="I475" s="251"/>
      <c r="J475" s="252" t="str">
        <f>'Оценка'!B478</f>
        <v/>
      </c>
      <c r="L475" s="253" t="str">
        <f t="shared" si="21"/>
        <v/>
      </c>
    </row>
    <row r="476">
      <c r="B476" s="247" t="str">
        <f>'Оценка'!D479</f>
        <v/>
      </c>
      <c r="C476" s="249" t="str">
        <f t="shared" si="1"/>
        <v/>
      </c>
      <c r="D476" s="249" t="str">
        <f t="shared" si="2"/>
        <v/>
      </c>
      <c r="E476" s="249" t="str">
        <f t="shared" si="3"/>
        <v/>
      </c>
      <c r="F476" s="158" t="str">
        <f t="shared" si="4"/>
        <v/>
      </c>
      <c r="G476" s="247" t="str">
        <f>IF(A476&lt;&gt;"", 'Sales (Итоги оценки)'!$C$4, "")</f>
        <v/>
      </c>
      <c r="H476" s="249" t="str">
        <f t="shared" si="5"/>
        <v/>
      </c>
      <c r="I476" s="251"/>
      <c r="J476" s="252" t="str">
        <f>'Оценка'!B479</f>
        <v/>
      </c>
      <c r="L476" s="253" t="str">
        <f t="shared" si="21"/>
        <v/>
      </c>
    </row>
    <row r="477">
      <c r="B477" s="247" t="str">
        <f>'Оценка'!D480</f>
        <v/>
      </c>
      <c r="C477" s="249" t="str">
        <f t="shared" si="1"/>
        <v/>
      </c>
      <c r="D477" s="249" t="str">
        <f t="shared" si="2"/>
        <v/>
      </c>
      <c r="E477" s="249" t="str">
        <f t="shared" si="3"/>
        <v/>
      </c>
      <c r="F477" s="158" t="str">
        <f t="shared" si="4"/>
        <v/>
      </c>
      <c r="G477" s="247" t="str">
        <f>IF(A477&lt;&gt;"", 'Sales (Итоги оценки)'!$C$4, "")</f>
        <v/>
      </c>
      <c r="H477" s="249" t="str">
        <f t="shared" si="5"/>
        <v/>
      </c>
      <c r="I477" s="251"/>
      <c r="J477" s="252" t="str">
        <f>'Оценка'!B480</f>
        <v/>
      </c>
      <c r="L477" s="253" t="str">
        <f t="shared" si="21"/>
        <v/>
      </c>
    </row>
    <row r="478">
      <c r="B478" s="247" t="str">
        <f>'Оценка'!D481</f>
        <v/>
      </c>
      <c r="C478" s="249" t="str">
        <f t="shared" si="1"/>
        <v/>
      </c>
      <c r="D478" s="249" t="str">
        <f t="shared" si="2"/>
        <v/>
      </c>
      <c r="E478" s="249" t="str">
        <f t="shared" si="3"/>
        <v/>
      </c>
      <c r="F478" s="158" t="str">
        <f t="shared" si="4"/>
        <v/>
      </c>
      <c r="G478" s="247" t="str">
        <f>IF(A478&lt;&gt;"", 'Sales (Итоги оценки)'!$C$4, "")</f>
        <v/>
      </c>
      <c r="H478" s="249" t="str">
        <f t="shared" si="5"/>
        <v/>
      </c>
      <c r="I478" s="251"/>
      <c r="J478" s="252" t="str">
        <f>'Оценка'!B481</f>
        <v/>
      </c>
      <c r="L478" s="253" t="str">
        <f t="shared" si="21"/>
        <v/>
      </c>
    </row>
    <row r="479">
      <c r="B479" s="247" t="str">
        <f>'Оценка'!D482</f>
        <v/>
      </c>
      <c r="C479" s="249" t="str">
        <f t="shared" si="1"/>
        <v/>
      </c>
      <c r="D479" s="249" t="str">
        <f t="shared" si="2"/>
        <v/>
      </c>
      <c r="E479" s="249" t="str">
        <f t="shared" si="3"/>
        <v/>
      </c>
      <c r="F479" s="158" t="str">
        <f t="shared" si="4"/>
        <v/>
      </c>
      <c r="G479" s="247" t="str">
        <f>IF(A479&lt;&gt;"", 'Sales (Итоги оценки)'!$C$4, "")</f>
        <v/>
      </c>
      <c r="H479" s="249" t="str">
        <f t="shared" si="5"/>
        <v/>
      </c>
      <c r="I479" s="251"/>
      <c r="J479" s="252" t="str">
        <f>'Оценка'!B482</f>
        <v/>
      </c>
      <c r="L479" s="253" t="str">
        <f t="shared" si="21"/>
        <v/>
      </c>
    </row>
    <row r="480">
      <c r="B480" s="247" t="str">
        <f>'Оценка'!D483</f>
        <v/>
      </c>
      <c r="C480" s="249" t="str">
        <f t="shared" si="1"/>
        <v/>
      </c>
      <c r="D480" s="249" t="str">
        <f t="shared" si="2"/>
        <v/>
      </c>
      <c r="E480" s="249" t="str">
        <f t="shared" si="3"/>
        <v/>
      </c>
      <c r="F480" s="158" t="str">
        <f t="shared" si="4"/>
        <v/>
      </c>
      <c r="G480" s="247" t="str">
        <f>IF(A480&lt;&gt;"", 'Sales (Итоги оценки)'!$C$4, "")</f>
        <v/>
      </c>
      <c r="H480" s="249" t="str">
        <f t="shared" si="5"/>
        <v/>
      </c>
      <c r="I480" s="251"/>
      <c r="J480" s="252" t="str">
        <f>'Оценка'!B483</f>
        <v/>
      </c>
      <c r="L480" s="253" t="str">
        <f t="shared" si="21"/>
        <v/>
      </c>
    </row>
    <row r="481">
      <c r="B481" s="247" t="str">
        <f>'Оценка'!D484</f>
        <v/>
      </c>
      <c r="C481" s="249" t="str">
        <f t="shared" si="1"/>
        <v/>
      </c>
      <c r="D481" s="249" t="str">
        <f t="shared" si="2"/>
        <v/>
      </c>
      <c r="E481" s="249" t="str">
        <f t="shared" si="3"/>
        <v/>
      </c>
      <c r="F481" s="158" t="str">
        <f t="shared" si="4"/>
        <v/>
      </c>
      <c r="G481" s="247" t="str">
        <f>IF(A481&lt;&gt;"", 'Sales (Итоги оценки)'!$C$4, "")</f>
        <v/>
      </c>
      <c r="H481" s="249" t="str">
        <f t="shared" si="5"/>
        <v/>
      </c>
      <c r="I481" s="251"/>
      <c r="J481" s="252" t="str">
        <f>'Оценка'!B484</f>
        <v/>
      </c>
      <c r="L481" s="253" t="str">
        <f t="shared" si="21"/>
        <v/>
      </c>
    </row>
    <row r="482">
      <c r="B482" s="247" t="str">
        <f>'Оценка'!D485</f>
        <v/>
      </c>
      <c r="C482" s="249" t="str">
        <f t="shared" si="1"/>
        <v/>
      </c>
      <c r="D482" s="249" t="str">
        <f t="shared" si="2"/>
        <v/>
      </c>
      <c r="E482" s="249" t="str">
        <f t="shared" si="3"/>
        <v/>
      </c>
      <c r="F482" s="158" t="str">
        <f t="shared" si="4"/>
        <v/>
      </c>
      <c r="G482" s="247" t="str">
        <f>IF(A482&lt;&gt;"", 'Sales (Итоги оценки)'!$C$4, "")</f>
        <v/>
      </c>
      <c r="H482" s="249" t="str">
        <f t="shared" si="5"/>
        <v/>
      </c>
      <c r="I482" s="251"/>
      <c r="J482" s="252" t="str">
        <f>'Оценка'!B485</f>
        <v/>
      </c>
      <c r="L482" s="253" t="str">
        <f t="shared" si="21"/>
        <v/>
      </c>
    </row>
    <row r="483">
      <c r="B483" s="247" t="str">
        <f>'Оценка'!D486</f>
        <v/>
      </c>
      <c r="C483" s="249" t="str">
        <f t="shared" si="1"/>
        <v/>
      </c>
      <c r="D483" s="249" t="str">
        <f t="shared" si="2"/>
        <v/>
      </c>
      <c r="E483" s="249" t="str">
        <f t="shared" si="3"/>
        <v/>
      </c>
      <c r="F483" s="158" t="str">
        <f t="shared" si="4"/>
        <v/>
      </c>
      <c r="G483" s="247" t="str">
        <f>IF(A483&lt;&gt;"", 'Sales (Итоги оценки)'!$C$4, "")</f>
        <v/>
      </c>
      <c r="H483" s="249" t="str">
        <f t="shared" si="5"/>
        <v/>
      </c>
      <c r="I483" s="251"/>
      <c r="J483" s="252" t="str">
        <f>'Оценка'!B486</f>
        <v/>
      </c>
      <c r="L483" s="253" t="str">
        <f t="shared" si="21"/>
        <v/>
      </c>
    </row>
    <row r="484">
      <c r="B484" s="247" t="str">
        <f>'Оценка'!D487</f>
        <v/>
      </c>
      <c r="C484" s="249" t="str">
        <f t="shared" si="1"/>
        <v/>
      </c>
      <c r="D484" s="249" t="str">
        <f t="shared" si="2"/>
        <v/>
      </c>
      <c r="E484" s="249" t="str">
        <f t="shared" si="3"/>
        <v/>
      </c>
      <c r="F484" s="158" t="str">
        <f t="shared" si="4"/>
        <v/>
      </c>
      <c r="G484" s="247" t="str">
        <f>IF(A484&lt;&gt;"", 'Sales (Итоги оценки)'!$C$4, "")</f>
        <v/>
      </c>
      <c r="H484" s="249" t="str">
        <f t="shared" si="5"/>
        <v/>
      </c>
      <c r="I484" s="251"/>
      <c r="J484" s="252" t="str">
        <f>'Оценка'!B487</f>
        <v/>
      </c>
      <c r="L484" s="253" t="str">
        <f t="shared" si="21"/>
        <v/>
      </c>
    </row>
    <row r="485">
      <c r="B485" s="247" t="str">
        <f>'Оценка'!D488</f>
        <v/>
      </c>
      <c r="C485" s="249" t="str">
        <f t="shared" si="1"/>
        <v/>
      </c>
      <c r="E485" s="249" t="str">
        <f t="shared" si="3"/>
        <v/>
      </c>
      <c r="F485" s="158" t="str">
        <f t="shared" si="4"/>
        <v/>
      </c>
      <c r="G485" s="247" t="str">
        <f>IF(A485&lt;&gt;"", 'Sales (Итоги оценки)'!$C$4, "")</f>
        <v/>
      </c>
      <c r="H485" s="249" t="str">
        <f t="shared" si="5"/>
        <v/>
      </c>
      <c r="I485" s="251"/>
      <c r="J485" s="252" t="str">
        <f>'Оценка'!B488</f>
        <v/>
      </c>
      <c r="L485" s="253" t="str">
        <f t="shared" si="21"/>
        <v/>
      </c>
    </row>
    <row r="486">
      <c r="B486" s="247" t="str">
        <f>'Оценка'!D489</f>
        <v/>
      </c>
      <c r="C486" s="249" t="str">
        <f t="shared" si="1"/>
        <v/>
      </c>
      <c r="E486" s="249" t="str">
        <f t="shared" si="3"/>
        <v/>
      </c>
      <c r="F486" s="158" t="str">
        <f t="shared" si="4"/>
        <v/>
      </c>
      <c r="G486" s="247" t="str">
        <f>IF(A486&lt;&gt;"", 'Sales (Итоги оценки)'!$C$4, "")</f>
        <v/>
      </c>
      <c r="H486" s="249" t="str">
        <f t="shared" si="5"/>
        <v/>
      </c>
      <c r="I486" s="251"/>
      <c r="J486" s="252" t="str">
        <f>'Оценка'!B489</f>
        <v/>
      </c>
      <c r="L486" s="253"/>
    </row>
    <row r="487">
      <c r="B487" s="247" t="str">
        <f>'Оценка'!D490</f>
        <v/>
      </c>
      <c r="C487" s="249" t="str">
        <f t="shared" si="1"/>
        <v/>
      </c>
      <c r="E487" s="249" t="str">
        <f t="shared" si="3"/>
        <v/>
      </c>
      <c r="F487" s="158" t="str">
        <f t="shared" si="4"/>
        <v/>
      </c>
      <c r="G487" s="247" t="str">
        <f>IF(A487&lt;&gt;"", 'Sales (Итоги оценки)'!$C$4, "")</f>
        <v/>
      </c>
      <c r="H487" s="249" t="str">
        <f t="shared" si="5"/>
        <v/>
      </c>
      <c r="I487" s="251"/>
      <c r="J487" s="252" t="str">
        <f>'Оценка'!B490</f>
        <v/>
      </c>
      <c r="L487" s="253"/>
    </row>
    <row r="488">
      <c r="B488" s="247" t="str">
        <f>'Оценка'!D491</f>
        <v/>
      </c>
      <c r="C488" s="249" t="str">
        <f t="shared" si="1"/>
        <v/>
      </c>
      <c r="E488" s="249" t="str">
        <f t="shared" si="3"/>
        <v/>
      </c>
      <c r="F488" s="158" t="str">
        <f t="shared" si="4"/>
        <v/>
      </c>
      <c r="G488" s="247" t="str">
        <f>IF(A488&lt;&gt;"", 'Sales (Итоги оценки)'!$C$4, "")</f>
        <v/>
      </c>
      <c r="H488" s="249" t="str">
        <f t="shared" si="5"/>
        <v/>
      </c>
      <c r="I488" s="251"/>
      <c r="J488" s="252" t="str">
        <f>'Оценка'!B491</f>
        <v/>
      </c>
      <c r="L488" s="253"/>
    </row>
    <row r="489">
      <c r="B489" s="247" t="str">
        <f>'Оценка'!D492</f>
        <v/>
      </c>
      <c r="C489" s="249" t="str">
        <f t="shared" si="1"/>
        <v/>
      </c>
      <c r="E489" s="249" t="str">
        <f t="shared" si="3"/>
        <v/>
      </c>
      <c r="F489" s="158" t="str">
        <f t="shared" si="4"/>
        <v/>
      </c>
      <c r="G489" s="247" t="str">
        <f>IF(A489&lt;&gt;"", 'Sales (Итоги оценки)'!$C$4, "")</f>
        <v/>
      </c>
      <c r="H489" s="249" t="str">
        <f t="shared" si="5"/>
        <v/>
      </c>
      <c r="I489" s="251"/>
      <c r="J489" s="252" t="str">
        <f>'Оценка'!B492</f>
        <v/>
      </c>
      <c r="L489" s="253"/>
    </row>
    <row r="490">
      <c r="B490" s="247" t="str">
        <f>'Оценка'!D493</f>
        <v/>
      </c>
      <c r="C490" s="249" t="str">
        <f t="shared" si="1"/>
        <v/>
      </c>
      <c r="E490" s="249" t="str">
        <f t="shared" si="3"/>
        <v/>
      </c>
      <c r="F490" s="158" t="str">
        <f t="shared" si="4"/>
        <v/>
      </c>
      <c r="G490" s="247" t="str">
        <f>IF(A490&lt;&gt;"", 'Sales (Итоги оценки)'!$C$4, "")</f>
        <v/>
      </c>
      <c r="H490" s="249" t="str">
        <f t="shared" si="5"/>
        <v/>
      </c>
      <c r="I490" s="251"/>
      <c r="L490" s="253"/>
    </row>
    <row r="491">
      <c r="B491" s="247" t="str">
        <f>'Оценка'!D494</f>
        <v/>
      </c>
      <c r="C491" s="249" t="str">
        <f t="shared" si="1"/>
        <v/>
      </c>
      <c r="E491" s="249" t="str">
        <f t="shared" si="3"/>
        <v/>
      </c>
      <c r="F491" s="158" t="str">
        <f t="shared" si="4"/>
        <v/>
      </c>
      <c r="G491" s="247" t="str">
        <f>IF(A491&lt;&gt;"", 'Sales (Итоги оценки)'!$C$4, "")</f>
        <v/>
      </c>
      <c r="I491" s="251"/>
      <c r="L491" s="253"/>
    </row>
    <row r="492">
      <c r="B492" s="247" t="str">
        <f>'Оценка'!D495</f>
        <v/>
      </c>
      <c r="C492" s="249" t="str">
        <f t="shared" si="1"/>
        <v/>
      </c>
      <c r="E492" s="249" t="str">
        <f t="shared" si="3"/>
        <v/>
      </c>
      <c r="F492" s="158" t="str">
        <f t="shared" si="4"/>
        <v/>
      </c>
      <c r="G492" s="247" t="str">
        <f>IF(A492&lt;&gt;"", 'Sales (Итоги оценки)'!$C$4, "")</f>
        <v/>
      </c>
      <c r="I492" s="251"/>
      <c r="L492" s="253"/>
    </row>
    <row r="493">
      <c r="B493" s="247" t="str">
        <f>'Оценка'!D496</f>
        <v/>
      </c>
      <c r="C493" s="249" t="str">
        <f t="shared" si="1"/>
        <v/>
      </c>
      <c r="E493" s="249" t="str">
        <f t="shared" si="3"/>
        <v/>
      </c>
      <c r="F493" s="158" t="str">
        <f t="shared" si="4"/>
        <v/>
      </c>
      <c r="G493" s="247" t="str">
        <f>IF(A493&lt;&gt;"", 'Sales (Итоги оценки)'!$C$4, "")</f>
        <v/>
      </c>
      <c r="I493" s="251"/>
      <c r="L493" s="253"/>
    </row>
    <row r="494">
      <c r="B494" s="247" t="str">
        <f>'Оценка'!D497</f>
        <v/>
      </c>
      <c r="C494" s="249" t="str">
        <f t="shared" si="1"/>
        <v/>
      </c>
      <c r="E494" s="249" t="str">
        <f t="shared" si="3"/>
        <v/>
      </c>
      <c r="F494" s="158" t="str">
        <f t="shared" si="4"/>
        <v/>
      </c>
      <c r="G494" s="247" t="str">
        <f>IF(A494&lt;&gt;"", 'Sales (Итоги оценки)'!$C$4, "")</f>
        <v/>
      </c>
      <c r="I494" s="251"/>
      <c r="L494" s="253"/>
    </row>
    <row r="495">
      <c r="B495" s="247" t="str">
        <f>'Оценка'!D498</f>
        <v/>
      </c>
      <c r="C495" s="249" t="str">
        <f t="shared" si="1"/>
        <v/>
      </c>
      <c r="E495" s="249" t="str">
        <f t="shared" si="3"/>
        <v/>
      </c>
      <c r="F495" s="158" t="str">
        <f t="shared" si="4"/>
        <v/>
      </c>
      <c r="G495" s="247" t="str">
        <f>IF(A495&lt;&gt;"", 'Sales (Итоги оценки)'!$C$4, "")</f>
        <v/>
      </c>
      <c r="I495" s="251"/>
      <c r="L495" s="253"/>
    </row>
    <row r="496">
      <c r="B496" s="247" t="str">
        <f>'Оценка'!D499</f>
        <v/>
      </c>
      <c r="C496" s="249" t="str">
        <f t="shared" si="1"/>
        <v/>
      </c>
      <c r="E496" s="249" t="str">
        <f t="shared" si="3"/>
        <v/>
      </c>
      <c r="F496" s="158" t="str">
        <f t="shared" si="4"/>
        <v/>
      </c>
      <c r="G496" s="247" t="str">
        <f>IF(A496&lt;&gt;"", 'Sales (Итоги оценки)'!$C$4, "")</f>
        <v/>
      </c>
      <c r="I496" s="251"/>
      <c r="L496" s="253"/>
    </row>
    <row r="497">
      <c r="B497" s="247" t="str">
        <f>'Оценка'!D500</f>
        <v/>
      </c>
      <c r="C497" s="249" t="str">
        <f t="shared" si="1"/>
        <v/>
      </c>
      <c r="E497" s="249" t="str">
        <f t="shared" si="3"/>
        <v/>
      </c>
      <c r="F497" s="158" t="str">
        <f t="shared" si="4"/>
        <v/>
      </c>
      <c r="G497" s="247" t="str">
        <f>IF(A497&lt;&gt;"", 'Sales (Итоги оценки)'!$C$4, "")</f>
        <v/>
      </c>
      <c r="I497" s="251"/>
      <c r="L497" s="253"/>
    </row>
    <row r="498">
      <c r="B498" s="247" t="str">
        <f>'Оценка'!D501</f>
        <v/>
      </c>
      <c r="C498" s="249" t="str">
        <f t="shared" si="1"/>
        <v/>
      </c>
      <c r="E498" s="249" t="str">
        <f t="shared" si="3"/>
        <v/>
      </c>
      <c r="F498" s="158" t="str">
        <f t="shared" si="4"/>
        <v/>
      </c>
      <c r="G498" s="247" t="str">
        <f>IF(A498&lt;&gt;"", 'Sales (Итоги оценки)'!$C$4, "")</f>
        <v/>
      </c>
      <c r="I498" s="251"/>
      <c r="L498" s="253"/>
    </row>
    <row r="499">
      <c r="B499" s="247" t="str">
        <f>'Оценка'!D502</f>
        <v/>
      </c>
      <c r="C499" s="249" t="str">
        <f t="shared" si="1"/>
        <v/>
      </c>
      <c r="E499" s="249" t="str">
        <f t="shared" si="3"/>
        <v/>
      </c>
      <c r="F499" s="158" t="str">
        <f t="shared" si="4"/>
        <v/>
      </c>
      <c r="G499" s="247" t="str">
        <f>IF(A499&lt;&gt;"", 'Sales (Итоги оценки)'!$C$4, "")</f>
        <v/>
      </c>
      <c r="I499" s="251"/>
      <c r="L499" s="253"/>
    </row>
    <row r="500">
      <c r="B500" s="247" t="str">
        <f>'Оценка'!D503</f>
        <v/>
      </c>
      <c r="C500" s="249" t="str">
        <f t="shared" si="1"/>
        <v/>
      </c>
      <c r="E500" s="249" t="str">
        <f t="shared" si="3"/>
        <v/>
      </c>
      <c r="F500" s="158" t="str">
        <f t="shared" si="4"/>
        <v/>
      </c>
      <c r="G500" s="247" t="str">
        <f>IF(A500&lt;&gt;"", 'Sales (Итоги оценки)'!$C$4, "")</f>
        <v/>
      </c>
      <c r="I500" s="251"/>
      <c r="L500" s="253"/>
    </row>
    <row r="501">
      <c r="B501" s="247" t="str">
        <f>'Оценка'!D504</f>
        <v/>
      </c>
      <c r="C501" s="249" t="str">
        <f t="shared" si="1"/>
        <v/>
      </c>
      <c r="E501" s="249" t="str">
        <f t="shared" si="3"/>
        <v/>
      </c>
      <c r="F501" s="158" t="str">
        <f t="shared" si="4"/>
        <v/>
      </c>
      <c r="G501" s="247" t="str">
        <f>IF(A501&lt;&gt;"", 'Sales (Итоги оценки)'!$C$4, "")</f>
        <v/>
      </c>
      <c r="I501" s="251"/>
      <c r="L501" s="253"/>
    </row>
    <row r="502">
      <c r="B502" s="247" t="str">
        <f>'Оценка'!D505</f>
        <v/>
      </c>
      <c r="C502" s="249" t="str">
        <f t="shared" si="1"/>
        <v/>
      </c>
      <c r="E502" s="249" t="str">
        <f t="shared" si="3"/>
        <v/>
      </c>
      <c r="F502" s="158" t="str">
        <f t="shared" si="4"/>
        <v/>
      </c>
      <c r="G502" s="247" t="str">
        <f>IF(A502&lt;&gt;"", 'Sales (Итоги оценки)'!$C$4, "")</f>
        <v/>
      </c>
      <c r="I502" s="251"/>
      <c r="L502" s="253"/>
    </row>
    <row r="503">
      <c r="B503" s="247" t="str">
        <f>'Оценка'!D506</f>
        <v/>
      </c>
      <c r="C503" s="249" t="str">
        <f t="shared" si="1"/>
        <v/>
      </c>
      <c r="E503" s="249" t="str">
        <f t="shared" si="3"/>
        <v/>
      </c>
      <c r="F503" s="158" t="str">
        <f t="shared" si="4"/>
        <v/>
      </c>
      <c r="G503" s="247" t="str">
        <f>IF(A503&lt;&gt;"", 'Sales (Итоги оценки)'!$C$4, "")</f>
        <v/>
      </c>
      <c r="I503" s="251"/>
      <c r="L503" s="253"/>
    </row>
    <row r="504">
      <c r="B504" s="247" t="str">
        <f>'Оценка'!D507</f>
        <v/>
      </c>
      <c r="C504" s="249" t="str">
        <f t="shared" si="1"/>
        <v/>
      </c>
      <c r="E504" s="249" t="str">
        <f t="shared" si="3"/>
        <v/>
      </c>
      <c r="F504" s="158" t="str">
        <f t="shared" si="4"/>
        <v/>
      </c>
      <c r="G504" s="247" t="str">
        <f>IF(A504&lt;&gt;"", 'Sales (Итоги оценки)'!$C$4, "")</f>
        <v/>
      </c>
      <c r="I504" s="251"/>
      <c r="L504" s="253"/>
    </row>
    <row r="505">
      <c r="B505" s="247" t="str">
        <f>'Оценка'!D508</f>
        <v/>
      </c>
      <c r="C505" s="249" t="str">
        <f t="shared" si="1"/>
        <v/>
      </c>
      <c r="E505" s="249" t="str">
        <f t="shared" si="3"/>
        <v/>
      </c>
      <c r="F505" s="158" t="str">
        <f t="shared" si="4"/>
        <v/>
      </c>
      <c r="G505" s="247" t="str">
        <f>IF(A505&lt;&gt;"", 'Sales (Итоги оценки)'!$C$4, "")</f>
        <v/>
      </c>
      <c r="I505" s="251"/>
      <c r="L505" s="253"/>
    </row>
    <row r="506">
      <c r="B506" s="247" t="str">
        <f>'Оценка'!D509</f>
        <v/>
      </c>
      <c r="C506" s="249" t="str">
        <f t="shared" si="1"/>
        <v/>
      </c>
      <c r="E506" s="249" t="str">
        <f t="shared" si="3"/>
        <v/>
      </c>
      <c r="F506" s="158" t="str">
        <f t="shared" si="4"/>
        <v/>
      </c>
      <c r="G506" s="247" t="str">
        <f>IF(A506&lt;&gt;"", 'Sales (Итоги оценки)'!$C$4, "")</f>
        <v/>
      </c>
      <c r="I506" s="251"/>
      <c r="L506" s="253"/>
    </row>
    <row r="507">
      <c r="B507" s="247" t="str">
        <f>'Оценка'!D510</f>
        <v/>
      </c>
      <c r="C507" s="249" t="str">
        <f t="shared" si="1"/>
        <v/>
      </c>
      <c r="E507" s="249" t="str">
        <f t="shared" si="3"/>
        <v/>
      </c>
      <c r="F507" s="158" t="str">
        <f t="shared" si="4"/>
        <v/>
      </c>
      <c r="I507" s="251"/>
      <c r="L507" s="253"/>
    </row>
    <row r="508">
      <c r="B508" s="247" t="str">
        <f>'Оценка'!D511</f>
        <v/>
      </c>
      <c r="C508" s="249" t="str">
        <f t="shared" si="1"/>
        <v/>
      </c>
      <c r="E508" s="249" t="str">
        <f t="shared" si="3"/>
        <v/>
      </c>
      <c r="F508" s="158" t="str">
        <f t="shared" si="4"/>
        <v/>
      </c>
      <c r="I508" s="251"/>
      <c r="L508" s="253"/>
    </row>
    <row r="509">
      <c r="B509" s="247" t="str">
        <f>'Оценка'!D512</f>
        <v/>
      </c>
      <c r="C509" s="249" t="str">
        <f t="shared" si="1"/>
        <v/>
      </c>
      <c r="E509" s="249" t="str">
        <f t="shared" si="3"/>
        <v/>
      </c>
      <c r="F509" s="158" t="str">
        <f t="shared" si="4"/>
        <v/>
      </c>
      <c r="I509" s="251"/>
      <c r="L509" s="253"/>
    </row>
    <row r="510">
      <c r="B510" s="247" t="str">
        <f>'Оценка'!D513</f>
        <v/>
      </c>
      <c r="C510" s="249" t="str">
        <f t="shared" si="1"/>
        <v/>
      </c>
      <c r="E510" s="249" t="str">
        <f t="shared" si="3"/>
        <v/>
      </c>
      <c r="F510" s="158" t="str">
        <f t="shared" si="4"/>
        <v/>
      </c>
      <c r="I510" s="251"/>
      <c r="L510" s="253"/>
    </row>
    <row r="511">
      <c r="B511" s="247" t="str">
        <f>'Оценка'!D514</f>
        <v/>
      </c>
      <c r="C511" s="249" t="str">
        <f t="shared" si="1"/>
        <v/>
      </c>
      <c r="E511" s="249" t="str">
        <f t="shared" si="3"/>
        <v/>
      </c>
      <c r="F511" s="158" t="str">
        <f t="shared" si="4"/>
        <v/>
      </c>
      <c r="I511" s="251"/>
      <c r="L511" s="253"/>
    </row>
    <row r="512">
      <c r="B512" s="247" t="str">
        <f>'Оценка'!D515</f>
        <v/>
      </c>
      <c r="C512" s="249" t="str">
        <f t="shared" si="1"/>
        <v/>
      </c>
      <c r="E512" s="249" t="str">
        <f t="shared" si="3"/>
        <v/>
      </c>
      <c r="F512" s="158" t="str">
        <f t="shared" si="4"/>
        <v/>
      </c>
      <c r="I512" s="251"/>
      <c r="L512" s="253"/>
    </row>
    <row r="513">
      <c r="B513" s="247" t="str">
        <f>'Оценка'!D516</f>
        <v/>
      </c>
      <c r="C513" s="249" t="str">
        <f t="shared" si="1"/>
        <v/>
      </c>
      <c r="E513" s="249" t="str">
        <f t="shared" si="3"/>
        <v/>
      </c>
      <c r="F513" s="158" t="str">
        <f t="shared" si="4"/>
        <v/>
      </c>
      <c r="I513" s="251"/>
      <c r="L513" s="253"/>
    </row>
    <row r="514">
      <c r="B514" s="247" t="str">
        <f>'Оценка'!D517</f>
        <v/>
      </c>
      <c r="C514" s="249" t="str">
        <f t="shared" si="1"/>
        <v/>
      </c>
      <c r="E514" s="249" t="str">
        <f t="shared" si="3"/>
        <v/>
      </c>
      <c r="F514" s="158" t="str">
        <f t="shared" si="4"/>
        <v/>
      </c>
      <c r="I514" s="251"/>
      <c r="L514" s="253"/>
    </row>
    <row r="515">
      <c r="B515" s="247" t="str">
        <f>'Оценка'!D518</f>
        <v/>
      </c>
      <c r="C515" s="249" t="str">
        <f t="shared" si="1"/>
        <v/>
      </c>
      <c r="E515" s="249" t="str">
        <f t="shared" si="3"/>
        <v/>
      </c>
      <c r="F515" s="158" t="str">
        <f t="shared" si="4"/>
        <v/>
      </c>
      <c r="I515" s="251"/>
      <c r="L515" s="253"/>
    </row>
    <row r="516">
      <c r="B516" s="247" t="str">
        <f>'Оценка'!D519</f>
        <v/>
      </c>
      <c r="C516" s="249" t="str">
        <f t="shared" si="1"/>
        <v/>
      </c>
      <c r="E516" s="249" t="str">
        <f t="shared" si="3"/>
        <v/>
      </c>
      <c r="F516" s="158" t="str">
        <f t="shared" si="4"/>
        <v/>
      </c>
      <c r="I516" s="251"/>
      <c r="L516" s="253"/>
    </row>
    <row r="517">
      <c r="B517" s="247" t="str">
        <f>'Оценка'!D520</f>
        <v/>
      </c>
      <c r="C517" s="249" t="str">
        <f t="shared" si="1"/>
        <v/>
      </c>
      <c r="E517" s="249" t="str">
        <f t="shared" si="3"/>
        <v/>
      </c>
      <c r="F517" s="158" t="str">
        <f t="shared" si="4"/>
        <v/>
      </c>
      <c r="I517" s="251"/>
      <c r="L517" s="253"/>
    </row>
    <row r="518">
      <c r="B518" s="247" t="str">
        <f>'Оценка'!D521</f>
        <v/>
      </c>
      <c r="C518" s="249" t="str">
        <f t="shared" si="1"/>
        <v/>
      </c>
      <c r="E518" s="249" t="str">
        <f t="shared" si="3"/>
        <v/>
      </c>
      <c r="F518" s="158" t="str">
        <f t="shared" si="4"/>
        <v/>
      </c>
      <c r="I518" s="251"/>
      <c r="L518" s="253"/>
    </row>
    <row r="519">
      <c r="B519" s="247" t="str">
        <f>'Оценка'!D522</f>
        <v/>
      </c>
      <c r="C519" s="249" t="str">
        <f t="shared" si="1"/>
        <v/>
      </c>
      <c r="E519" s="249" t="str">
        <f t="shared" si="3"/>
        <v/>
      </c>
      <c r="F519" s="158" t="str">
        <f t="shared" si="4"/>
        <v/>
      </c>
      <c r="I519" s="251"/>
      <c r="L519" s="253"/>
    </row>
    <row r="520">
      <c r="B520" s="247" t="str">
        <f>'Оценка'!D523</f>
        <v/>
      </c>
      <c r="C520" s="249" t="str">
        <f t="shared" si="1"/>
        <v/>
      </c>
      <c r="E520" s="249" t="str">
        <f t="shared" si="3"/>
        <v/>
      </c>
      <c r="F520" s="158" t="str">
        <f t="shared" si="4"/>
        <v/>
      </c>
      <c r="I520" s="251"/>
      <c r="L520" s="253"/>
    </row>
    <row r="521">
      <c r="B521" s="247" t="str">
        <f>'Оценка'!D524</f>
        <v/>
      </c>
      <c r="C521" s="249" t="str">
        <f t="shared" si="1"/>
        <v/>
      </c>
      <c r="E521" s="249" t="str">
        <f t="shared" si="3"/>
        <v/>
      </c>
      <c r="F521" s="158" t="str">
        <f t="shared" si="4"/>
        <v/>
      </c>
      <c r="I521" s="251"/>
      <c r="L521" s="253"/>
    </row>
    <row r="522">
      <c r="B522" s="247" t="str">
        <f>'Оценка'!D525</f>
        <v/>
      </c>
      <c r="C522" s="249" t="str">
        <f t="shared" si="1"/>
        <v/>
      </c>
      <c r="E522" s="249" t="str">
        <f t="shared" si="3"/>
        <v/>
      </c>
      <c r="F522" s="158" t="str">
        <f t="shared" si="4"/>
        <v/>
      </c>
      <c r="I522" s="251"/>
      <c r="L522" s="253"/>
    </row>
    <row r="523">
      <c r="B523" s="247" t="str">
        <f>'Оценка'!D526</f>
        <v/>
      </c>
      <c r="C523" s="249" t="str">
        <f t="shared" si="1"/>
        <v/>
      </c>
      <c r="E523" s="249" t="str">
        <f t="shared" si="3"/>
        <v/>
      </c>
      <c r="F523" s="158" t="str">
        <f t="shared" si="4"/>
        <v/>
      </c>
      <c r="I523" s="251"/>
      <c r="L523" s="253"/>
    </row>
    <row r="524">
      <c r="B524" s="247" t="str">
        <f>'Оценка'!D527</f>
        <v/>
      </c>
      <c r="C524" s="249" t="str">
        <f t="shared" si="1"/>
        <v/>
      </c>
      <c r="E524" s="249" t="str">
        <f t="shared" si="3"/>
        <v/>
      </c>
      <c r="F524" s="158" t="str">
        <f t="shared" si="4"/>
        <v/>
      </c>
      <c r="I524" s="251"/>
      <c r="L524" s="253"/>
    </row>
    <row r="525">
      <c r="B525" s="247" t="str">
        <f>'Оценка'!D528</f>
        <v/>
      </c>
      <c r="C525" s="249" t="str">
        <f t="shared" si="1"/>
        <v/>
      </c>
      <c r="E525" s="249" t="str">
        <f t="shared" si="3"/>
        <v/>
      </c>
      <c r="F525" s="158" t="str">
        <f t="shared" si="4"/>
        <v/>
      </c>
      <c r="I525" s="251"/>
      <c r="L525" s="253"/>
    </row>
    <row r="526">
      <c r="B526" s="247" t="str">
        <f>'Оценка'!D529</f>
        <v/>
      </c>
      <c r="C526" s="249" t="str">
        <f t="shared" si="1"/>
        <v/>
      </c>
      <c r="E526" s="249" t="str">
        <f t="shared" si="3"/>
        <v/>
      </c>
      <c r="F526" s="158" t="str">
        <f t="shared" si="4"/>
        <v/>
      </c>
      <c r="I526" s="251"/>
      <c r="L526" s="253"/>
    </row>
    <row r="527">
      <c r="B527" s="247" t="str">
        <f>'Оценка'!D530</f>
        <v/>
      </c>
      <c r="C527" s="249" t="str">
        <f t="shared" si="1"/>
        <v/>
      </c>
      <c r="E527" s="249" t="str">
        <f t="shared" si="3"/>
        <v/>
      </c>
      <c r="F527" s="158" t="str">
        <f t="shared" si="4"/>
        <v/>
      </c>
      <c r="I527" s="251"/>
      <c r="L527" s="253"/>
    </row>
    <row r="528">
      <c r="B528" s="247" t="str">
        <f>'Оценка'!D531</f>
        <v/>
      </c>
      <c r="C528" s="249" t="str">
        <f t="shared" si="1"/>
        <v/>
      </c>
      <c r="E528" s="249" t="str">
        <f t="shared" si="3"/>
        <v/>
      </c>
      <c r="F528" s="158" t="str">
        <f t="shared" si="4"/>
        <v/>
      </c>
      <c r="I528" s="251"/>
      <c r="L528" s="253"/>
    </row>
    <row r="529">
      <c r="B529" s="247" t="str">
        <f>'Оценка'!D532</f>
        <v/>
      </c>
      <c r="C529" s="249" t="str">
        <f t="shared" si="1"/>
        <v/>
      </c>
      <c r="E529" s="249" t="str">
        <f t="shared" si="3"/>
        <v/>
      </c>
      <c r="F529" s="158" t="str">
        <f t="shared" si="4"/>
        <v/>
      </c>
      <c r="I529" s="251"/>
      <c r="L529" s="253"/>
    </row>
    <row r="530">
      <c r="B530" s="247" t="str">
        <f>'Оценка'!D533</f>
        <v/>
      </c>
      <c r="C530" s="249" t="str">
        <f t="shared" si="1"/>
        <v/>
      </c>
      <c r="E530" s="249" t="str">
        <f t="shared" ref="E530:E615" si="22">IF(A530&lt;&gt;"", 0, "")</f>
        <v/>
      </c>
      <c r="F530" s="158" t="str">
        <f t="shared" si="4"/>
        <v/>
      </c>
      <c r="I530" s="251"/>
      <c r="L530" s="253"/>
    </row>
    <row r="531">
      <c r="B531" s="247" t="str">
        <f>'Оценка'!D534</f>
        <v/>
      </c>
      <c r="C531" s="249" t="str">
        <f t="shared" si="1"/>
        <v/>
      </c>
      <c r="E531" s="249" t="str">
        <f t="shared" si="22"/>
        <v/>
      </c>
      <c r="F531" s="158" t="str">
        <f t="shared" si="4"/>
        <v/>
      </c>
      <c r="I531" s="251"/>
      <c r="L531" s="253"/>
    </row>
    <row r="532">
      <c r="B532" s="247" t="str">
        <f>'Оценка'!D535</f>
        <v/>
      </c>
      <c r="C532" s="249" t="str">
        <f t="shared" si="1"/>
        <v/>
      </c>
      <c r="E532" s="249" t="str">
        <f t="shared" si="22"/>
        <v/>
      </c>
      <c r="F532" s="158" t="str">
        <f t="shared" si="4"/>
        <v/>
      </c>
      <c r="I532" s="251"/>
      <c r="L532" s="253"/>
    </row>
    <row r="533">
      <c r="B533" s="247" t="str">
        <f>'Оценка'!D536</f>
        <v/>
      </c>
      <c r="C533" s="249" t="str">
        <f t="shared" si="1"/>
        <v/>
      </c>
      <c r="E533" s="249" t="str">
        <f t="shared" si="22"/>
        <v/>
      </c>
      <c r="F533" s="158" t="str">
        <f t="shared" si="4"/>
        <v/>
      </c>
      <c r="I533" s="251"/>
      <c r="L533" s="253"/>
    </row>
    <row r="534">
      <c r="B534" s="247" t="str">
        <f>'Оценка'!D537</f>
        <v/>
      </c>
      <c r="C534" s="249" t="str">
        <f t="shared" si="1"/>
        <v/>
      </c>
      <c r="E534" s="249" t="str">
        <f t="shared" si="22"/>
        <v/>
      </c>
      <c r="F534" s="158" t="str">
        <f t="shared" si="4"/>
        <v/>
      </c>
      <c r="I534" s="251"/>
      <c r="L534" s="253"/>
    </row>
    <row r="535">
      <c r="B535" s="247" t="str">
        <f>'Оценка'!D538</f>
        <v/>
      </c>
      <c r="C535" s="249" t="str">
        <f t="shared" si="1"/>
        <v/>
      </c>
      <c r="E535" s="249" t="str">
        <f t="shared" si="22"/>
        <v/>
      </c>
      <c r="F535" s="158" t="str">
        <f t="shared" si="4"/>
        <v/>
      </c>
      <c r="I535" s="251"/>
      <c r="L535" s="253"/>
    </row>
    <row r="536">
      <c r="B536" s="247" t="str">
        <f>'Оценка'!D539</f>
        <v/>
      </c>
      <c r="C536" s="249" t="str">
        <f t="shared" si="1"/>
        <v/>
      </c>
      <c r="E536" s="249" t="str">
        <f t="shared" si="22"/>
        <v/>
      </c>
      <c r="F536" s="158" t="str">
        <f t="shared" si="4"/>
        <v/>
      </c>
      <c r="I536" s="251"/>
      <c r="L536" s="253"/>
    </row>
    <row r="537">
      <c r="B537" s="247" t="str">
        <f>'Оценка'!D540</f>
        <v/>
      </c>
      <c r="C537" s="249" t="str">
        <f t="shared" si="1"/>
        <v/>
      </c>
      <c r="E537" s="249" t="str">
        <f t="shared" si="22"/>
        <v/>
      </c>
      <c r="F537" s="158" t="str">
        <f t="shared" si="4"/>
        <v/>
      </c>
      <c r="I537" s="251"/>
      <c r="L537" s="253"/>
    </row>
    <row r="538">
      <c r="B538" s="247" t="str">
        <f>'Оценка'!D541</f>
        <v/>
      </c>
      <c r="C538" s="249" t="str">
        <f t="shared" si="1"/>
        <v/>
      </c>
      <c r="E538" s="249" t="str">
        <f t="shared" si="22"/>
        <v/>
      </c>
      <c r="F538" s="158" t="str">
        <f t="shared" si="4"/>
        <v/>
      </c>
      <c r="I538" s="251"/>
      <c r="L538" s="253"/>
    </row>
    <row r="539">
      <c r="B539" s="247" t="str">
        <f>'Оценка'!D542</f>
        <v/>
      </c>
      <c r="C539" s="249" t="str">
        <f t="shared" si="1"/>
        <v/>
      </c>
      <c r="E539" s="249" t="str">
        <f t="shared" si="22"/>
        <v/>
      </c>
      <c r="F539" s="158" t="str">
        <f t="shared" si="4"/>
        <v/>
      </c>
      <c r="I539" s="1"/>
      <c r="L539" s="253"/>
    </row>
    <row r="540">
      <c r="B540" s="247" t="str">
        <f>'Оценка'!D543</f>
        <v/>
      </c>
      <c r="C540" s="249" t="str">
        <f t="shared" si="1"/>
        <v/>
      </c>
      <c r="E540" s="249" t="str">
        <f t="shared" si="22"/>
        <v/>
      </c>
      <c r="F540" s="158" t="str">
        <f t="shared" si="4"/>
        <v/>
      </c>
      <c r="I540" s="1"/>
      <c r="L540" s="253"/>
    </row>
    <row r="541">
      <c r="B541" s="247" t="str">
        <f>'Оценка'!D544</f>
        <v/>
      </c>
      <c r="C541" s="249" t="str">
        <f t="shared" si="1"/>
        <v/>
      </c>
      <c r="E541" s="249" t="str">
        <f t="shared" si="22"/>
        <v/>
      </c>
      <c r="F541" s="158" t="str">
        <f t="shared" si="4"/>
        <v/>
      </c>
      <c r="I541" s="1"/>
      <c r="L541" s="253"/>
    </row>
    <row r="542">
      <c r="B542" s="247" t="str">
        <f>'Оценка'!D545</f>
        <v/>
      </c>
      <c r="C542" s="249" t="str">
        <f t="shared" si="1"/>
        <v/>
      </c>
      <c r="E542" s="249" t="str">
        <f t="shared" si="22"/>
        <v/>
      </c>
      <c r="F542" s="158" t="str">
        <f t="shared" si="4"/>
        <v/>
      </c>
      <c r="I542" s="1"/>
      <c r="L542" s="253"/>
    </row>
    <row r="543">
      <c r="B543" s="247" t="str">
        <f>'Оценка'!D546</f>
        <v/>
      </c>
      <c r="C543" s="249" t="str">
        <f t="shared" si="1"/>
        <v/>
      </c>
      <c r="E543" s="249" t="str">
        <f t="shared" si="22"/>
        <v/>
      </c>
      <c r="F543" s="158" t="str">
        <f t="shared" si="4"/>
        <v/>
      </c>
      <c r="I543" s="1"/>
      <c r="L543" s="253"/>
    </row>
    <row r="544">
      <c r="B544" s="247" t="str">
        <f>'Оценка'!D547</f>
        <v/>
      </c>
      <c r="C544" s="249" t="str">
        <f t="shared" si="1"/>
        <v/>
      </c>
      <c r="E544" s="249" t="str">
        <f t="shared" si="22"/>
        <v/>
      </c>
      <c r="F544" s="158" t="str">
        <f t="shared" si="4"/>
        <v/>
      </c>
      <c r="I544" s="1"/>
      <c r="L544" s="253"/>
    </row>
    <row r="545">
      <c r="B545" s="247" t="str">
        <f>'Оценка'!D548</f>
        <v/>
      </c>
      <c r="C545" s="249" t="str">
        <f t="shared" si="1"/>
        <v/>
      </c>
      <c r="E545" s="249" t="str">
        <f t="shared" si="22"/>
        <v/>
      </c>
      <c r="F545" s="158" t="str">
        <f t="shared" si="4"/>
        <v/>
      </c>
      <c r="I545" s="1"/>
      <c r="L545" s="253"/>
    </row>
    <row r="546">
      <c r="B546" s="247" t="str">
        <f>'Оценка'!D549</f>
        <v/>
      </c>
      <c r="C546" s="249" t="str">
        <f t="shared" si="1"/>
        <v/>
      </c>
      <c r="E546" s="249" t="str">
        <f t="shared" si="22"/>
        <v/>
      </c>
      <c r="F546" s="158" t="str">
        <f t="shared" si="4"/>
        <v/>
      </c>
      <c r="I546" s="1"/>
      <c r="L546" s="253"/>
    </row>
    <row r="547">
      <c r="B547" s="247" t="str">
        <f>'Оценка'!D550</f>
        <v/>
      </c>
      <c r="C547" s="249" t="str">
        <f t="shared" si="1"/>
        <v/>
      </c>
      <c r="E547" s="249" t="str">
        <f t="shared" si="22"/>
        <v/>
      </c>
      <c r="F547" s="158" t="str">
        <f t="shared" si="4"/>
        <v/>
      </c>
      <c r="I547" s="1"/>
      <c r="L547" s="253"/>
    </row>
    <row r="548">
      <c r="B548" s="247" t="str">
        <f>'Оценка'!D551</f>
        <v/>
      </c>
      <c r="C548" s="249" t="str">
        <f t="shared" si="1"/>
        <v/>
      </c>
      <c r="E548" s="249" t="str">
        <f t="shared" si="22"/>
        <v/>
      </c>
      <c r="F548" s="158" t="str">
        <f t="shared" si="4"/>
        <v/>
      </c>
      <c r="I548" s="1"/>
      <c r="L548" s="253"/>
    </row>
    <row r="549">
      <c r="B549" s="247" t="str">
        <f>'Оценка'!D552</f>
        <v/>
      </c>
      <c r="C549" s="249" t="str">
        <f t="shared" si="1"/>
        <v/>
      </c>
      <c r="E549" s="249" t="str">
        <f t="shared" si="22"/>
        <v/>
      </c>
      <c r="F549" s="158" t="str">
        <f t="shared" si="4"/>
        <v/>
      </c>
      <c r="I549" s="1"/>
      <c r="L549" s="253"/>
    </row>
    <row r="550">
      <c r="B550" s="247" t="str">
        <f>'Оценка'!D553</f>
        <v/>
      </c>
      <c r="C550" s="249" t="str">
        <f t="shared" si="1"/>
        <v/>
      </c>
      <c r="E550" s="249" t="str">
        <f t="shared" si="22"/>
        <v/>
      </c>
      <c r="F550" s="158" t="str">
        <f t="shared" si="4"/>
        <v/>
      </c>
      <c r="I550" s="1"/>
      <c r="L550" s="253"/>
    </row>
    <row r="551">
      <c r="B551" s="247" t="str">
        <f>'Оценка'!D554</f>
        <v/>
      </c>
      <c r="C551" s="249" t="str">
        <f t="shared" si="1"/>
        <v/>
      </c>
      <c r="E551" s="249" t="str">
        <f t="shared" si="22"/>
        <v/>
      </c>
      <c r="F551" s="158" t="str">
        <f t="shared" si="4"/>
        <v/>
      </c>
      <c r="I551" s="1"/>
      <c r="L551" s="253"/>
    </row>
    <row r="552">
      <c r="B552" s="247" t="str">
        <f>'Оценка'!D555</f>
        <v/>
      </c>
      <c r="C552" s="249" t="str">
        <f t="shared" si="1"/>
        <v/>
      </c>
      <c r="E552" s="249" t="str">
        <f t="shared" si="22"/>
        <v/>
      </c>
      <c r="F552" s="158" t="str">
        <f t="shared" si="4"/>
        <v/>
      </c>
      <c r="I552" s="1"/>
      <c r="L552" s="253"/>
    </row>
    <row r="553">
      <c r="B553" s="247" t="str">
        <f>'Оценка'!D556</f>
        <v/>
      </c>
      <c r="C553" s="249" t="str">
        <f t="shared" si="1"/>
        <v/>
      </c>
      <c r="E553" s="249" t="str">
        <f t="shared" si="22"/>
        <v/>
      </c>
      <c r="F553" s="158" t="str">
        <f t="shared" si="4"/>
        <v/>
      </c>
      <c r="I553" s="1"/>
      <c r="L553" s="253"/>
    </row>
    <row r="554">
      <c r="B554" s="247" t="str">
        <f>'Оценка'!D557</f>
        <v/>
      </c>
      <c r="C554" s="249" t="str">
        <f t="shared" si="1"/>
        <v/>
      </c>
      <c r="E554" s="249" t="str">
        <f t="shared" si="22"/>
        <v/>
      </c>
      <c r="F554" s="158" t="str">
        <f t="shared" si="4"/>
        <v/>
      </c>
      <c r="I554" s="1"/>
      <c r="L554" s="253"/>
    </row>
    <row r="555">
      <c r="B555" s="247" t="str">
        <f>'Оценка'!D558</f>
        <v/>
      </c>
      <c r="C555" s="249" t="str">
        <f t="shared" si="1"/>
        <v/>
      </c>
      <c r="E555" s="249" t="str">
        <f t="shared" si="22"/>
        <v/>
      </c>
      <c r="F555" s="158" t="str">
        <f t="shared" si="4"/>
        <v/>
      </c>
      <c r="I555" s="1"/>
      <c r="L555" s="253"/>
    </row>
    <row r="556">
      <c r="B556" s="247" t="str">
        <f>'Оценка'!D559</f>
        <v/>
      </c>
      <c r="C556" s="249" t="str">
        <f t="shared" si="1"/>
        <v/>
      </c>
      <c r="E556" s="249" t="str">
        <f t="shared" si="22"/>
        <v/>
      </c>
      <c r="F556" s="158" t="str">
        <f t="shared" si="4"/>
        <v/>
      </c>
      <c r="I556" s="1"/>
      <c r="L556" s="253"/>
    </row>
    <row r="557">
      <c r="B557" s="247" t="str">
        <f>'Оценка'!D560</f>
        <v/>
      </c>
      <c r="C557" s="249" t="str">
        <f t="shared" si="1"/>
        <v/>
      </c>
      <c r="E557" s="249" t="str">
        <f t="shared" si="22"/>
        <v/>
      </c>
      <c r="F557" s="158" t="str">
        <f t="shared" si="4"/>
        <v/>
      </c>
      <c r="I557" s="1"/>
      <c r="L557" s="253"/>
    </row>
    <row r="558">
      <c r="B558" s="247" t="str">
        <f>'Оценка'!D561</f>
        <v/>
      </c>
      <c r="C558" s="249" t="str">
        <f t="shared" si="1"/>
        <v/>
      </c>
      <c r="E558" s="249" t="str">
        <f t="shared" si="22"/>
        <v/>
      </c>
      <c r="F558" s="158" t="str">
        <f t="shared" si="4"/>
        <v/>
      </c>
      <c r="I558" s="1"/>
      <c r="L558" s="253"/>
    </row>
    <row r="559">
      <c r="B559" s="247" t="str">
        <f>'Оценка'!D562</f>
        <v/>
      </c>
      <c r="C559" s="249" t="str">
        <f t="shared" si="1"/>
        <v/>
      </c>
      <c r="E559" s="249" t="str">
        <f t="shared" si="22"/>
        <v/>
      </c>
      <c r="F559" s="158" t="str">
        <f t="shared" si="4"/>
        <v/>
      </c>
      <c r="I559" s="1"/>
      <c r="L559" s="253"/>
    </row>
    <row r="560">
      <c r="B560" s="247" t="str">
        <f>'Оценка'!D563</f>
        <v/>
      </c>
      <c r="C560" s="249" t="str">
        <f t="shared" si="1"/>
        <v/>
      </c>
      <c r="E560" s="249" t="str">
        <f t="shared" si="22"/>
        <v/>
      </c>
      <c r="F560" s="158" t="str">
        <f t="shared" si="4"/>
        <v/>
      </c>
      <c r="I560" s="1"/>
      <c r="L560" s="253"/>
    </row>
    <row r="561">
      <c r="B561" s="247" t="str">
        <f>'Оценка'!D564</f>
        <v/>
      </c>
      <c r="C561" s="249" t="str">
        <f t="shared" si="1"/>
        <v/>
      </c>
      <c r="E561" s="249" t="str">
        <f t="shared" si="22"/>
        <v/>
      </c>
      <c r="F561" s="158" t="str">
        <f t="shared" si="4"/>
        <v/>
      </c>
      <c r="I561" s="1"/>
      <c r="L561" s="253"/>
    </row>
    <row r="562">
      <c r="B562" s="247" t="str">
        <f>'Оценка'!D565</f>
        <v/>
      </c>
      <c r="C562" s="249" t="str">
        <f t="shared" si="1"/>
        <v/>
      </c>
      <c r="E562" s="249" t="str">
        <f t="shared" si="22"/>
        <v/>
      </c>
      <c r="F562" s="158" t="str">
        <f t="shared" si="4"/>
        <v/>
      </c>
      <c r="I562" s="1"/>
      <c r="L562" s="253"/>
    </row>
    <row r="563">
      <c r="B563" s="247" t="str">
        <f>'Оценка'!D566</f>
        <v/>
      </c>
      <c r="C563" s="249" t="str">
        <f t="shared" si="1"/>
        <v/>
      </c>
      <c r="E563" s="249" t="str">
        <f t="shared" si="22"/>
        <v/>
      </c>
      <c r="F563" s="158" t="str">
        <f t="shared" si="4"/>
        <v/>
      </c>
      <c r="I563" s="1"/>
      <c r="L563" s="253"/>
    </row>
    <row r="564">
      <c r="B564" s="247" t="str">
        <f>'Оценка'!D567</f>
        <v/>
      </c>
      <c r="C564" s="249" t="str">
        <f t="shared" si="1"/>
        <v/>
      </c>
      <c r="E564" s="249" t="str">
        <f t="shared" si="22"/>
        <v/>
      </c>
      <c r="F564" s="158" t="str">
        <f t="shared" si="4"/>
        <v/>
      </c>
      <c r="I564" s="1"/>
      <c r="L564" s="253"/>
    </row>
    <row r="565">
      <c r="B565" s="247" t="str">
        <f>'Оценка'!D568</f>
        <v/>
      </c>
      <c r="C565" s="249" t="str">
        <f t="shared" si="1"/>
        <v/>
      </c>
      <c r="E565" s="249" t="str">
        <f t="shared" si="22"/>
        <v/>
      </c>
      <c r="F565" s="158" t="str">
        <f t="shared" si="4"/>
        <v/>
      </c>
      <c r="I565" s="1"/>
      <c r="L565" s="253"/>
    </row>
    <row r="566">
      <c r="B566" s="247" t="str">
        <f>'Оценка'!D569</f>
        <v/>
      </c>
      <c r="C566" s="249" t="str">
        <f t="shared" si="1"/>
        <v/>
      </c>
      <c r="E566" s="249" t="str">
        <f t="shared" si="22"/>
        <v/>
      </c>
      <c r="F566" s="158" t="str">
        <f t="shared" si="4"/>
        <v/>
      </c>
      <c r="I566" s="1"/>
      <c r="L566" s="253"/>
    </row>
    <row r="567">
      <c r="B567" s="247" t="str">
        <f>'Оценка'!D570</f>
        <v/>
      </c>
      <c r="C567" s="249" t="str">
        <f t="shared" si="1"/>
        <v/>
      </c>
      <c r="E567" s="249" t="str">
        <f t="shared" si="22"/>
        <v/>
      </c>
      <c r="F567" s="158" t="str">
        <f t="shared" si="4"/>
        <v/>
      </c>
      <c r="I567" s="1"/>
      <c r="L567" s="253"/>
    </row>
    <row r="568">
      <c r="B568" s="247" t="str">
        <f>'Оценка'!D571</f>
        <v/>
      </c>
      <c r="C568" s="249" t="str">
        <f t="shared" si="1"/>
        <v/>
      </c>
      <c r="E568" s="249" t="str">
        <f t="shared" si="22"/>
        <v/>
      </c>
      <c r="F568" s="158" t="str">
        <f t="shared" si="4"/>
        <v/>
      </c>
      <c r="I568" s="1"/>
      <c r="L568" s="253"/>
    </row>
    <row r="569">
      <c r="B569" s="247" t="str">
        <f>'Оценка'!D572</f>
        <v/>
      </c>
      <c r="C569" s="249" t="str">
        <f t="shared" si="1"/>
        <v/>
      </c>
      <c r="E569" s="249" t="str">
        <f t="shared" si="22"/>
        <v/>
      </c>
      <c r="F569" s="158" t="str">
        <f t="shared" si="4"/>
        <v/>
      </c>
      <c r="I569" s="1"/>
      <c r="L569" s="253"/>
    </row>
    <row r="570">
      <c r="B570" s="247" t="str">
        <f>'Оценка'!D573</f>
        <v/>
      </c>
      <c r="C570" s="249" t="str">
        <f t="shared" si="1"/>
        <v/>
      </c>
      <c r="E570" s="249" t="str">
        <f t="shared" si="22"/>
        <v/>
      </c>
      <c r="F570" s="158" t="str">
        <f t="shared" si="4"/>
        <v/>
      </c>
      <c r="I570" s="1"/>
      <c r="L570" s="253"/>
    </row>
    <row r="571">
      <c r="B571" s="247" t="str">
        <f>'Оценка'!D574</f>
        <v/>
      </c>
      <c r="C571" s="249" t="str">
        <f t="shared" si="1"/>
        <v/>
      </c>
      <c r="E571" s="249" t="str">
        <f t="shared" si="22"/>
        <v/>
      </c>
      <c r="F571" s="158" t="str">
        <f t="shared" si="4"/>
        <v/>
      </c>
      <c r="I571" s="1"/>
      <c r="L571" s="253"/>
    </row>
    <row r="572">
      <c r="B572" s="247" t="str">
        <f>'Оценка'!D575</f>
        <v/>
      </c>
      <c r="C572" s="249" t="str">
        <f t="shared" si="1"/>
        <v/>
      </c>
      <c r="E572" s="249" t="str">
        <f t="shared" si="22"/>
        <v/>
      </c>
      <c r="F572" s="158" t="str">
        <f t="shared" si="4"/>
        <v/>
      </c>
      <c r="I572" s="1"/>
      <c r="L572" s="253"/>
    </row>
    <row r="573">
      <c r="B573" s="247" t="str">
        <f>'Оценка'!D576</f>
        <v/>
      </c>
      <c r="C573" s="249" t="str">
        <f t="shared" si="1"/>
        <v/>
      </c>
      <c r="E573" s="249" t="str">
        <f t="shared" si="22"/>
        <v/>
      </c>
      <c r="F573" s="158" t="str">
        <f t="shared" si="4"/>
        <v/>
      </c>
      <c r="I573" s="1"/>
      <c r="L573" s="253"/>
    </row>
    <row r="574">
      <c r="B574" s="247" t="str">
        <f>'Оценка'!D577</f>
        <v/>
      </c>
      <c r="C574" s="249" t="str">
        <f t="shared" si="1"/>
        <v/>
      </c>
      <c r="E574" s="249" t="str">
        <f t="shared" si="22"/>
        <v/>
      </c>
      <c r="F574" s="158" t="str">
        <f t="shared" si="4"/>
        <v/>
      </c>
      <c r="I574" s="1"/>
      <c r="L574" s="253"/>
    </row>
    <row r="575">
      <c r="B575" s="247" t="str">
        <f>'Оценка'!D578</f>
        <v/>
      </c>
      <c r="C575" s="249" t="str">
        <f t="shared" si="1"/>
        <v/>
      </c>
      <c r="E575" s="249" t="str">
        <f t="shared" si="22"/>
        <v/>
      </c>
      <c r="F575" s="158" t="str">
        <f t="shared" si="4"/>
        <v/>
      </c>
      <c r="I575" s="1"/>
      <c r="L575" s="253"/>
    </row>
    <row r="576">
      <c r="B576" s="247" t="str">
        <f>'Оценка'!D579</f>
        <v/>
      </c>
      <c r="C576" s="249" t="str">
        <f t="shared" si="1"/>
        <v/>
      </c>
      <c r="E576" s="249" t="str">
        <f t="shared" si="22"/>
        <v/>
      </c>
      <c r="F576" s="158" t="str">
        <f t="shared" si="4"/>
        <v/>
      </c>
      <c r="I576" s="1"/>
      <c r="L576" s="253"/>
    </row>
    <row r="577">
      <c r="B577" s="247" t="str">
        <f>'Оценка'!D580</f>
        <v/>
      </c>
      <c r="C577" s="249" t="str">
        <f t="shared" si="1"/>
        <v/>
      </c>
      <c r="E577" s="249" t="str">
        <f t="shared" si="22"/>
        <v/>
      </c>
      <c r="F577" s="158" t="str">
        <f t="shared" si="4"/>
        <v/>
      </c>
      <c r="I577" s="1"/>
      <c r="L577" s="253"/>
    </row>
    <row r="578">
      <c r="B578" s="247" t="str">
        <f>'Оценка'!D581</f>
        <v/>
      </c>
      <c r="C578" s="249" t="str">
        <f t="shared" si="1"/>
        <v/>
      </c>
      <c r="E578" s="249" t="str">
        <f t="shared" si="22"/>
        <v/>
      </c>
      <c r="F578" s="158" t="str">
        <f t="shared" si="4"/>
        <v/>
      </c>
      <c r="I578" s="1"/>
      <c r="L578" s="253"/>
    </row>
    <row r="579">
      <c r="B579" s="247" t="str">
        <f>'Оценка'!D582</f>
        <v/>
      </c>
      <c r="C579" s="249" t="str">
        <f t="shared" si="1"/>
        <v/>
      </c>
      <c r="E579" s="249" t="str">
        <f t="shared" si="22"/>
        <v/>
      </c>
      <c r="F579" s="158" t="str">
        <f t="shared" si="4"/>
        <v/>
      </c>
      <c r="I579" s="1"/>
      <c r="L579" s="253"/>
    </row>
    <row r="580">
      <c r="B580" s="247" t="str">
        <f>'Оценка'!D583</f>
        <v/>
      </c>
      <c r="C580" s="249" t="str">
        <f t="shared" si="1"/>
        <v/>
      </c>
      <c r="E580" s="249" t="str">
        <f t="shared" si="22"/>
        <v/>
      </c>
      <c r="F580" s="158" t="str">
        <f t="shared" si="4"/>
        <v/>
      </c>
      <c r="I580" s="1"/>
      <c r="L580" s="253"/>
    </row>
    <row r="581">
      <c r="B581" s="247" t="str">
        <f>'Оценка'!D584</f>
        <v/>
      </c>
      <c r="C581" s="249" t="str">
        <f t="shared" si="1"/>
        <v/>
      </c>
      <c r="E581" s="249" t="str">
        <f t="shared" si="22"/>
        <v/>
      </c>
      <c r="F581" s="158" t="str">
        <f t="shared" si="4"/>
        <v/>
      </c>
      <c r="I581" s="1"/>
      <c r="L581" s="253"/>
    </row>
    <row r="582">
      <c r="B582" s="247" t="str">
        <f>'Оценка'!D585</f>
        <v/>
      </c>
      <c r="C582" s="249" t="str">
        <f t="shared" si="1"/>
        <v/>
      </c>
      <c r="E582" s="249" t="str">
        <f t="shared" si="22"/>
        <v/>
      </c>
      <c r="F582" s="158" t="str">
        <f t="shared" si="4"/>
        <v/>
      </c>
      <c r="I582" s="1"/>
      <c r="L582" s="253"/>
    </row>
    <row r="583">
      <c r="B583" s="247" t="str">
        <f>'Оценка'!D586</f>
        <v/>
      </c>
      <c r="C583" s="249" t="str">
        <f t="shared" si="1"/>
        <v/>
      </c>
      <c r="E583" s="249" t="str">
        <f t="shared" si="22"/>
        <v/>
      </c>
      <c r="F583" s="158" t="str">
        <f t="shared" si="4"/>
        <v/>
      </c>
      <c r="I583" s="1"/>
      <c r="L583" s="253"/>
    </row>
    <row r="584">
      <c r="B584" s="247" t="str">
        <f>'Оценка'!D587</f>
        <v/>
      </c>
      <c r="C584" s="249" t="str">
        <f t="shared" si="1"/>
        <v/>
      </c>
      <c r="E584" s="249" t="str">
        <f t="shared" si="22"/>
        <v/>
      </c>
      <c r="F584" s="158" t="str">
        <f t="shared" si="4"/>
        <v/>
      </c>
      <c r="I584" s="1"/>
      <c r="L584" s="253"/>
    </row>
    <row r="585">
      <c r="B585" s="247" t="str">
        <f>'Оценка'!D588</f>
        <v/>
      </c>
      <c r="C585" s="249" t="str">
        <f t="shared" si="1"/>
        <v/>
      </c>
      <c r="E585" s="249" t="str">
        <f t="shared" si="22"/>
        <v/>
      </c>
      <c r="F585" s="158" t="str">
        <f t="shared" si="4"/>
        <v/>
      </c>
      <c r="I585" s="1"/>
      <c r="L585" s="253"/>
    </row>
    <row r="586">
      <c r="B586" s="247" t="str">
        <f>'Оценка'!D589</f>
        <v/>
      </c>
      <c r="C586" s="249" t="str">
        <f t="shared" si="1"/>
        <v/>
      </c>
      <c r="E586" s="249" t="str">
        <f t="shared" si="22"/>
        <v/>
      </c>
      <c r="F586" s="158" t="str">
        <f t="shared" si="4"/>
        <v/>
      </c>
      <c r="I586" s="1"/>
      <c r="L586" s="253"/>
    </row>
    <row r="587">
      <c r="B587" s="247" t="str">
        <f>'Оценка'!D590</f>
        <v/>
      </c>
      <c r="C587" s="249" t="str">
        <f t="shared" si="1"/>
        <v/>
      </c>
      <c r="E587" s="249" t="str">
        <f t="shared" si="22"/>
        <v/>
      </c>
      <c r="F587" s="158" t="str">
        <f t="shared" si="4"/>
        <v/>
      </c>
      <c r="I587" s="1"/>
      <c r="L587" s="253"/>
    </row>
    <row r="588">
      <c r="B588" s="247" t="str">
        <f>'Оценка'!D591</f>
        <v/>
      </c>
      <c r="C588" s="249" t="str">
        <f t="shared" si="1"/>
        <v/>
      </c>
      <c r="E588" s="249" t="str">
        <f t="shared" si="22"/>
        <v/>
      </c>
      <c r="F588" s="158" t="str">
        <f t="shared" si="4"/>
        <v/>
      </c>
      <c r="I588" s="1"/>
      <c r="L588" s="253"/>
    </row>
    <row r="589">
      <c r="B589" s="247" t="str">
        <f>'Оценка'!D592</f>
        <v/>
      </c>
      <c r="C589" s="249" t="str">
        <f t="shared" si="1"/>
        <v/>
      </c>
      <c r="E589" s="249" t="str">
        <f t="shared" si="22"/>
        <v/>
      </c>
      <c r="F589" s="158" t="str">
        <f t="shared" si="4"/>
        <v/>
      </c>
      <c r="I589" s="1"/>
      <c r="L589" s="253"/>
    </row>
    <row r="590">
      <c r="B590" s="247" t="str">
        <f>'Оценка'!D593</f>
        <v/>
      </c>
      <c r="C590" s="249" t="str">
        <f t="shared" si="1"/>
        <v/>
      </c>
      <c r="E590" s="249" t="str">
        <f t="shared" si="22"/>
        <v/>
      </c>
      <c r="F590" s="158" t="str">
        <f t="shared" si="4"/>
        <v/>
      </c>
      <c r="I590" s="1"/>
      <c r="L590" s="253"/>
    </row>
    <row r="591">
      <c r="B591" s="247" t="str">
        <f>'Оценка'!D594</f>
        <v/>
      </c>
      <c r="C591" s="249" t="str">
        <f t="shared" si="1"/>
        <v/>
      </c>
      <c r="E591" s="249" t="str">
        <f t="shared" si="22"/>
        <v/>
      </c>
      <c r="F591" s="158" t="str">
        <f t="shared" si="4"/>
        <v/>
      </c>
      <c r="I591" s="1"/>
      <c r="L591" s="253"/>
    </row>
    <row r="592">
      <c r="B592" s="247" t="str">
        <f>'Оценка'!D595</f>
        <v/>
      </c>
      <c r="C592" s="249" t="str">
        <f t="shared" si="1"/>
        <v/>
      </c>
      <c r="E592" s="249" t="str">
        <f t="shared" si="22"/>
        <v/>
      </c>
      <c r="F592" s="158" t="str">
        <f t="shared" si="4"/>
        <v/>
      </c>
      <c r="I592" s="1"/>
      <c r="L592" s="253"/>
    </row>
    <row r="593">
      <c r="B593" s="247" t="str">
        <f>'Оценка'!D596</f>
        <v/>
      </c>
      <c r="C593" s="249" t="str">
        <f t="shared" si="1"/>
        <v/>
      </c>
      <c r="E593" s="249" t="str">
        <f t="shared" si="22"/>
        <v/>
      </c>
      <c r="F593" s="158" t="str">
        <f t="shared" si="4"/>
        <v/>
      </c>
      <c r="I593" s="1"/>
      <c r="L593" s="253"/>
    </row>
    <row r="594">
      <c r="B594" s="247" t="str">
        <f>'Оценка'!D597</f>
        <v/>
      </c>
      <c r="C594" s="249" t="str">
        <f t="shared" si="1"/>
        <v/>
      </c>
      <c r="E594" s="249" t="str">
        <f t="shared" si="22"/>
        <v/>
      </c>
      <c r="F594" s="158" t="str">
        <f t="shared" si="4"/>
        <v/>
      </c>
      <c r="I594" s="1"/>
      <c r="L594" s="253"/>
    </row>
    <row r="595">
      <c r="B595" s="247" t="str">
        <f>'Оценка'!D598</f>
        <v/>
      </c>
      <c r="C595" s="249" t="str">
        <f t="shared" si="1"/>
        <v/>
      </c>
      <c r="E595" s="249" t="str">
        <f t="shared" si="22"/>
        <v/>
      </c>
      <c r="F595" s="158" t="str">
        <f t="shared" si="4"/>
        <v/>
      </c>
      <c r="I595" s="1"/>
      <c r="L595" s="253"/>
    </row>
    <row r="596">
      <c r="B596" s="247" t="str">
        <f>'Оценка'!D599</f>
        <v/>
      </c>
      <c r="C596" s="249" t="str">
        <f t="shared" si="1"/>
        <v/>
      </c>
      <c r="E596" s="249" t="str">
        <f t="shared" si="22"/>
        <v/>
      </c>
      <c r="F596" s="158" t="str">
        <f t="shared" si="4"/>
        <v/>
      </c>
      <c r="I596" s="1"/>
      <c r="L596" s="253"/>
    </row>
    <row r="597">
      <c r="B597" s="247" t="str">
        <f>'Оценка'!D600</f>
        <v/>
      </c>
      <c r="C597" s="249" t="str">
        <f t="shared" si="1"/>
        <v/>
      </c>
      <c r="E597" s="249" t="str">
        <f t="shared" si="22"/>
        <v/>
      </c>
      <c r="F597" s="158" t="str">
        <f t="shared" si="4"/>
        <v/>
      </c>
      <c r="I597" s="1"/>
      <c r="L597" s="253"/>
    </row>
    <row r="598">
      <c r="B598" s="247" t="str">
        <f>'Оценка'!D601</f>
        <v/>
      </c>
      <c r="C598" s="249" t="str">
        <f t="shared" si="1"/>
        <v/>
      </c>
      <c r="E598" s="249" t="str">
        <f t="shared" si="22"/>
        <v/>
      </c>
      <c r="F598" s="158" t="str">
        <f t="shared" si="4"/>
        <v/>
      </c>
      <c r="I598" s="1"/>
      <c r="L598" s="253"/>
    </row>
    <row r="599">
      <c r="B599" s="247" t="str">
        <f>'Оценка'!D602</f>
        <v/>
      </c>
      <c r="C599" s="249" t="str">
        <f t="shared" si="1"/>
        <v/>
      </c>
      <c r="E599" s="249" t="str">
        <f t="shared" si="22"/>
        <v/>
      </c>
      <c r="F599" s="158" t="str">
        <f t="shared" si="4"/>
        <v/>
      </c>
      <c r="I599" s="1"/>
      <c r="L599" s="253"/>
    </row>
    <row r="600">
      <c r="B600" s="247" t="str">
        <f>'Оценка'!D603</f>
        <v/>
      </c>
      <c r="C600" s="249" t="str">
        <f t="shared" si="1"/>
        <v/>
      </c>
      <c r="E600" s="249" t="str">
        <f t="shared" si="22"/>
        <v/>
      </c>
      <c r="F600" s="158" t="str">
        <f t="shared" si="4"/>
        <v/>
      </c>
      <c r="I600" s="1"/>
      <c r="L600" s="253"/>
    </row>
    <row r="601">
      <c r="B601" s="247" t="str">
        <f>'Оценка'!D604</f>
        <v/>
      </c>
      <c r="C601" s="249" t="str">
        <f t="shared" si="1"/>
        <v/>
      </c>
      <c r="E601" s="249" t="str">
        <f t="shared" si="22"/>
        <v/>
      </c>
      <c r="F601" s="158" t="str">
        <f t="shared" si="4"/>
        <v/>
      </c>
      <c r="I601" s="1"/>
      <c r="L601" s="253"/>
    </row>
    <row r="602">
      <c r="B602" s="247" t="str">
        <f>'Оценка'!D605</f>
        <v/>
      </c>
      <c r="C602" s="249" t="str">
        <f t="shared" si="1"/>
        <v/>
      </c>
      <c r="E602" s="249" t="str">
        <f t="shared" si="22"/>
        <v/>
      </c>
      <c r="F602" s="158" t="str">
        <f t="shared" si="4"/>
        <v/>
      </c>
      <c r="I602" s="1"/>
      <c r="L602" s="253"/>
    </row>
    <row r="603">
      <c r="B603" s="247" t="str">
        <f>'Оценка'!D606</f>
        <v/>
      </c>
      <c r="C603" s="249" t="str">
        <f t="shared" si="1"/>
        <v/>
      </c>
      <c r="E603" s="249" t="str">
        <f t="shared" si="22"/>
        <v/>
      </c>
      <c r="F603" s="158" t="str">
        <f t="shared" si="4"/>
        <v/>
      </c>
      <c r="I603" s="1"/>
      <c r="L603" s="253"/>
    </row>
    <row r="604">
      <c r="B604" s="247" t="str">
        <f>'Оценка'!D607</f>
        <v/>
      </c>
      <c r="C604" s="249" t="str">
        <f t="shared" si="1"/>
        <v/>
      </c>
      <c r="E604" s="249" t="str">
        <f t="shared" si="22"/>
        <v/>
      </c>
      <c r="F604" s="158" t="str">
        <f t="shared" si="4"/>
        <v/>
      </c>
      <c r="I604" s="1"/>
      <c r="L604" s="253"/>
    </row>
    <row r="605">
      <c r="B605" s="247" t="str">
        <f>'Оценка'!D608</f>
        <v/>
      </c>
      <c r="C605" s="249" t="str">
        <f t="shared" si="1"/>
        <v/>
      </c>
      <c r="E605" s="249" t="str">
        <f t="shared" si="22"/>
        <v/>
      </c>
      <c r="F605" s="158" t="str">
        <f t="shared" si="4"/>
        <v/>
      </c>
      <c r="I605" s="1"/>
      <c r="L605" s="253"/>
    </row>
    <row r="606">
      <c r="B606" s="247" t="str">
        <f>'Оценка'!D609</f>
        <v/>
      </c>
      <c r="C606" s="249" t="str">
        <f t="shared" si="1"/>
        <v/>
      </c>
      <c r="E606" s="249" t="str">
        <f t="shared" si="22"/>
        <v/>
      </c>
      <c r="F606" s="158" t="str">
        <f t="shared" si="4"/>
        <v/>
      </c>
      <c r="I606" s="1"/>
      <c r="L606" s="253"/>
    </row>
    <row r="607">
      <c r="B607" s="247" t="str">
        <f>'Оценка'!D610</f>
        <v/>
      </c>
      <c r="C607" s="249" t="str">
        <f t="shared" si="1"/>
        <v/>
      </c>
      <c r="E607" s="249" t="str">
        <f t="shared" si="22"/>
        <v/>
      </c>
      <c r="F607" s="158" t="str">
        <f t="shared" si="4"/>
        <v/>
      </c>
      <c r="I607" s="1"/>
      <c r="L607" s="253"/>
    </row>
    <row r="608">
      <c r="B608" s="247" t="str">
        <f>'Оценка'!D611</f>
        <v/>
      </c>
      <c r="C608" s="249" t="str">
        <f t="shared" si="1"/>
        <v/>
      </c>
      <c r="E608" s="249" t="str">
        <f t="shared" si="22"/>
        <v/>
      </c>
      <c r="F608" s="158" t="str">
        <f t="shared" si="4"/>
        <v/>
      </c>
      <c r="I608" s="1"/>
      <c r="L608" s="253"/>
    </row>
    <row r="609">
      <c r="B609" s="247" t="str">
        <f>'Оценка'!D612</f>
        <v/>
      </c>
      <c r="C609" s="249" t="str">
        <f t="shared" si="1"/>
        <v/>
      </c>
      <c r="E609" s="249" t="str">
        <f t="shared" si="22"/>
        <v/>
      </c>
      <c r="F609" s="158" t="str">
        <f t="shared" si="4"/>
        <v/>
      </c>
      <c r="I609" s="1"/>
      <c r="L609" s="253"/>
    </row>
    <row r="610">
      <c r="B610" s="247" t="str">
        <f>'Оценка'!D613</f>
        <v/>
      </c>
      <c r="C610" s="249" t="str">
        <f t="shared" si="1"/>
        <v/>
      </c>
      <c r="E610" s="249" t="str">
        <f t="shared" si="22"/>
        <v/>
      </c>
      <c r="F610" s="158" t="str">
        <f t="shared" si="4"/>
        <v/>
      </c>
      <c r="I610" s="1"/>
      <c r="L610" s="253"/>
    </row>
    <row r="611">
      <c r="B611" s="247" t="str">
        <f>'Оценка'!D614</f>
        <v/>
      </c>
      <c r="C611" s="249" t="str">
        <f t="shared" si="1"/>
        <v/>
      </c>
      <c r="E611" s="249" t="str">
        <f t="shared" si="22"/>
        <v/>
      </c>
      <c r="F611" s="158" t="str">
        <f t="shared" si="4"/>
        <v/>
      </c>
      <c r="I611" s="1"/>
      <c r="L611" s="253"/>
    </row>
    <row r="612">
      <c r="B612" s="247" t="str">
        <f>'Оценка'!D615</f>
        <v/>
      </c>
      <c r="C612" s="249" t="str">
        <f t="shared" si="1"/>
        <v/>
      </c>
      <c r="E612" s="249" t="str">
        <f t="shared" si="22"/>
        <v/>
      </c>
      <c r="F612" s="158" t="str">
        <f t="shared" si="4"/>
        <v/>
      </c>
      <c r="I612" s="1"/>
      <c r="L612" s="253"/>
    </row>
    <row r="613">
      <c r="B613" s="247" t="str">
        <f>'Оценка'!D616</f>
        <v/>
      </c>
      <c r="C613" s="249" t="str">
        <f t="shared" si="1"/>
        <v/>
      </c>
      <c r="E613" s="249" t="str">
        <f t="shared" si="22"/>
        <v/>
      </c>
      <c r="F613" s="158" t="str">
        <f t="shared" si="4"/>
        <v/>
      </c>
      <c r="I613" s="1"/>
      <c r="L613" s="253"/>
    </row>
    <row r="614">
      <c r="B614" s="247" t="str">
        <f>'Оценка'!D617</f>
        <v/>
      </c>
      <c r="C614" s="249" t="str">
        <f t="shared" si="1"/>
        <v/>
      </c>
      <c r="E614" s="249" t="str">
        <f t="shared" si="22"/>
        <v/>
      </c>
      <c r="F614" s="158" t="str">
        <f t="shared" si="4"/>
        <v/>
      </c>
      <c r="I614" s="1"/>
      <c r="L614" s="253"/>
    </row>
    <row r="615">
      <c r="B615" s="247" t="str">
        <f>'Оценка'!D618</f>
        <v/>
      </c>
      <c r="C615" s="249" t="str">
        <f t="shared" si="1"/>
        <v/>
      </c>
      <c r="E615" s="249" t="str">
        <f t="shared" si="22"/>
        <v/>
      </c>
      <c r="F615" s="158" t="str">
        <f t="shared" si="4"/>
        <v/>
      </c>
      <c r="I615" s="1"/>
      <c r="L615" s="253"/>
    </row>
    <row r="616">
      <c r="B616" s="247" t="str">
        <f>'Оценка'!D619</f>
        <v/>
      </c>
      <c r="C616" s="249" t="str">
        <f t="shared" ref="C616:C759" si="23">IF(A616&lt;&gt;"", 1, "")</f>
        <v/>
      </c>
      <c r="F616" s="158" t="str">
        <f t="shared" si="4"/>
        <v/>
      </c>
      <c r="I616" s="1"/>
      <c r="L616" s="253"/>
    </row>
    <row r="617">
      <c r="B617" s="247" t="str">
        <f>'Оценка'!D620</f>
        <v/>
      </c>
      <c r="C617" s="249" t="str">
        <f t="shared" si="23"/>
        <v/>
      </c>
      <c r="F617" s="158" t="str">
        <f t="shared" si="4"/>
        <v/>
      </c>
      <c r="I617" s="1"/>
      <c r="L617" s="253"/>
    </row>
    <row r="618">
      <c r="B618" s="247" t="str">
        <f>'Оценка'!D621</f>
        <v/>
      </c>
      <c r="C618" s="249" t="str">
        <f t="shared" si="23"/>
        <v/>
      </c>
      <c r="F618" s="158" t="str">
        <f t="shared" si="4"/>
        <v/>
      </c>
      <c r="I618" s="1"/>
      <c r="L618" s="253"/>
    </row>
    <row r="619">
      <c r="B619" s="247" t="str">
        <f>'Оценка'!D622</f>
        <v/>
      </c>
      <c r="C619" s="249" t="str">
        <f t="shared" si="23"/>
        <v/>
      </c>
      <c r="F619" s="158" t="str">
        <f t="shared" si="4"/>
        <v/>
      </c>
      <c r="I619" s="1"/>
      <c r="L619" s="253"/>
    </row>
    <row r="620">
      <c r="B620" s="247" t="str">
        <f>'Оценка'!D623</f>
        <v/>
      </c>
      <c r="C620" s="249" t="str">
        <f t="shared" si="23"/>
        <v/>
      </c>
      <c r="F620" s="158" t="str">
        <f t="shared" si="4"/>
        <v/>
      </c>
      <c r="I620" s="1"/>
      <c r="L620" s="253"/>
    </row>
    <row r="621">
      <c r="B621" s="247" t="str">
        <f>'Оценка'!D624</f>
        <v/>
      </c>
      <c r="C621" s="249" t="str">
        <f t="shared" si="23"/>
        <v/>
      </c>
      <c r="F621" s="158" t="str">
        <f t="shared" si="4"/>
        <v/>
      </c>
      <c r="I621" s="1"/>
      <c r="L621" s="253"/>
    </row>
    <row r="622">
      <c r="B622" s="247" t="str">
        <f>'Оценка'!D625</f>
        <v/>
      </c>
      <c r="C622" s="249" t="str">
        <f t="shared" si="23"/>
        <v/>
      </c>
      <c r="F622" s="158" t="str">
        <f t="shared" si="4"/>
        <v/>
      </c>
      <c r="I622" s="1"/>
      <c r="L622" s="253"/>
    </row>
    <row r="623">
      <c r="C623" s="249" t="str">
        <f t="shared" si="23"/>
        <v/>
      </c>
      <c r="F623" s="158" t="str">
        <f t="shared" si="4"/>
        <v/>
      </c>
      <c r="I623" s="1"/>
      <c r="L623" s="253"/>
    </row>
    <row r="624">
      <c r="C624" s="249" t="str">
        <f t="shared" si="23"/>
        <v/>
      </c>
      <c r="F624" s="158" t="str">
        <f t="shared" si="4"/>
        <v/>
      </c>
      <c r="I624" s="1"/>
      <c r="L624" s="253"/>
    </row>
    <row r="625">
      <c r="C625" s="249" t="str">
        <f t="shared" si="23"/>
        <v/>
      </c>
      <c r="F625" s="158" t="str">
        <f t="shared" si="4"/>
        <v/>
      </c>
      <c r="I625" s="1"/>
      <c r="L625" s="253"/>
    </row>
    <row r="626">
      <c r="C626" s="249" t="str">
        <f t="shared" si="23"/>
        <v/>
      </c>
      <c r="F626" s="158" t="str">
        <f t="shared" si="4"/>
        <v/>
      </c>
      <c r="I626" s="1"/>
      <c r="L626" s="253"/>
    </row>
    <row r="627">
      <c r="C627" s="249" t="str">
        <f t="shared" si="23"/>
        <v/>
      </c>
      <c r="F627" s="158" t="str">
        <f t="shared" si="4"/>
        <v/>
      </c>
      <c r="I627" s="1"/>
      <c r="L627" s="253"/>
    </row>
    <row r="628">
      <c r="C628" s="249" t="str">
        <f t="shared" si="23"/>
        <v/>
      </c>
      <c r="F628" s="158" t="str">
        <f t="shared" si="4"/>
        <v/>
      </c>
      <c r="I628" s="1"/>
      <c r="L628" s="253"/>
    </row>
    <row r="629">
      <c r="C629" s="249" t="str">
        <f t="shared" si="23"/>
        <v/>
      </c>
      <c r="F629" s="158" t="str">
        <f t="shared" si="4"/>
        <v/>
      </c>
      <c r="I629" s="1"/>
      <c r="L629" s="253"/>
    </row>
    <row r="630">
      <c r="C630" s="249" t="str">
        <f t="shared" si="23"/>
        <v/>
      </c>
      <c r="F630" s="158" t="str">
        <f t="shared" si="4"/>
        <v/>
      </c>
      <c r="I630" s="1"/>
      <c r="L630" s="253"/>
    </row>
    <row r="631">
      <c r="C631" s="249" t="str">
        <f t="shared" si="23"/>
        <v/>
      </c>
      <c r="F631" s="158" t="str">
        <f t="shared" si="4"/>
        <v/>
      </c>
      <c r="I631" s="1"/>
      <c r="L631" s="253"/>
    </row>
    <row r="632">
      <c r="C632" s="249" t="str">
        <f t="shared" si="23"/>
        <v/>
      </c>
      <c r="F632" s="158" t="str">
        <f t="shared" si="4"/>
        <v/>
      </c>
      <c r="I632" s="1"/>
      <c r="L632" s="253"/>
    </row>
    <row r="633">
      <c r="C633" s="249" t="str">
        <f t="shared" si="23"/>
        <v/>
      </c>
      <c r="F633" s="158" t="str">
        <f t="shared" si="4"/>
        <v/>
      </c>
      <c r="I633" s="1"/>
      <c r="L633" s="253"/>
    </row>
    <row r="634">
      <c r="C634" s="249" t="str">
        <f t="shared" si="23"/>
        <v/>
      </c>
      <c r="F634" s="158" t="str">
        <f t="shared" si="4"/>
        <v/>
      </c>
      <c r="I634" s="1"/>
      <c r="L634" s="253"/>
    </row>
    <row r="635">
      <c r="C635" s="249" t="str">
        <f t="shared" si="23"/>
        <v/>
      </c>
      <c r="F635" s="158" t="str">
        <f t="shared" si="4"/>
        <v/>
      </c>
      <c r="I635" s="1"/>
      <c r="L635" s="253"/>
    </row>
    <row r="636">
      <c r="C636" s="249" t="str">
        <f t="shared" si="23"/>
        <v/>
      </c>
      <c r="F636" s="158" t="str">
        <f t="shared" si="4"/>
        <v/>
      </c>
      <c r="I636" s="1"/>
      <c r="L636" s="253"/>
    </row>
    <row r="637">
      <c r="C637" s="249" t="str">
        <f t="shared" si="23"/>
        <v/>
      </c>
      <c r="F637" s="158" t="str">
        <f t="shared" si="4"/>
        <v/>
      </c>
      <c r="I637" s="1"/>
      <c r="L637" s="253"/>
    </row>
    <row r="638">
      <c r="C638" s="249" t="str">
        <f t="shared" si="23"/>
        <v/>
      </c>
      <c r="F638" s="158" t="str">
        <f t="shared" si="4"/>
        <v/>
      </c>
      <c r="I638" s="1"/>
      <c r="L638" s="253"/>
    </row>
    <row r="639">
      <c r="C639" s="249" t="str">
        <f t="shared" si="23"/>
        <v/>
      </c>
      <c r="F639" s="158" t="str">
        <f t="shared" si="4"/>
        <v/>
      </c>
      <c r="I639" s="1"/>
      <c r="L639" s="253"/>
    </row>
    <row r="640">
      <c r="C640" s="249" t="str">
        <f t="shared" si="23"/>
        <v/>
      </c>
      <c r="F640" s="158" t="str">
        <f t="shared" si="4"/>
        <v/>
      </c>
      <c r="I640" s="1"/>
      <c r="L640" s="253"/>
    </row>
    <row r="641">
      <c r="C641" s="249" t="str">
        <f t="shared" si="23"/>
        <v/>
      </c>
      <c r="F641" s="158" t="str">
        <f t="shared" si="4"/>
        <v/>
      </c>
      <c r="I641" s="1"/>
      <c r="L641" s="253"/>
    </row>
    <row r="642">
      <c r="C642" s="249" t="str">
        <f t="shared" si="23"/>
        <v/>
      </c>
      <c r="F642" s="158" t="str">
        <f t="shared" si="4"/>
        <v/>
      </c>
      <c r="I642" s="1"/>
      <c r="L642" s="253"/>
    </row>
    <row r="643">
      <c r="C643" s="249" t="str">
        <f t="shared" si="23"/>
        <v/>
      </c>
      <c r="F643" s="158" t="str">
        <f t="shared" si="4"/>
        <v/>
      </c>
      <c r="I643" s="1"/>
      <c r="L643" s="253"/>
    </row>
    <row r="644">
      <c r="C644" s="249" t="str">
        <f t="shared" si="23"/>
        <v/>
      </c>
      <c r="F644" s="158" t="str">
        <f t="shared" si="4"/>
        <v/>
      </c>
      <c r="I644" s="1"/>
      <c r="L644" s="253"/>
    </row>
    <row r="645">
      <c r="C645" s="249" t="str">
        <f t="shared" si="23"/>
        <v/>
      </c>
      <c r="F645" s="158" t="str">
        <f t="shared" si="4"/>
        <v/>
      </c>
      <c r="I645" s="1"/>
      <c r="L645" s="253"/>
    </row>
    <row r="646">
      <c r="C646" s="249" t="str">
        <f t="shared" si="23"/>
        <v/>
      </c>
      <c r="F646" s="158" t="str">
        <f t="shared" si="4"/>
        <v/>
      </c>
      <c r="I646" s="1"/>
      <c r="L646" s="253"/>
    </row>
    <row r="647">
      <c r="C647" s="249" t="str">
        <f t="shared" si="23"/>
        <v/>
      </c>
      <c r="F647" s="158" t="str">
        <f t="shared" si="4"/>
        <v/>
      </c>
      <c r="I647" s="1"/>
      <c r="L647" s="253"/>
    </row>
    <row r="648">
      <c r="C648" s="249" t="str">
        <f t="shared" si="23"/>
        <v/>
      </c>
      <c r="F648" s="158" t="str">
        <f t="shared" si="4"/>
        <v/>
      </c>
      <c r="I648" s="1"/>
      <c r="L648" s="253"/>
    </row>
    <row r="649">
      <c r="C649" s="249" t="str">
        <f t="shared" si="23"/>
        <v/>
      </c>
      <c r="F649" s="158" t="str">
        <f t="shared" si="4"/>
        <v/>
      </c>
      <c r="I649" s="1"/>
      <c r="L649" s="253"/>
    </row>
    <row r="650">
      <c r="C650" s="249" t="str">
        <f t="shared" si="23"/>
        <v/>
      </c>
      <c r="F650" s="158" t="str">
        <f t="shared" si="4"/>
        <v/>
      </c>
      <c r="I650" s="1"/>
      <c r="L650" s="253"/>
    </row>
    <row r="651">
      <c r="C651" s="249" t="str">
        <f t="shared" si="23"/>
        <v/>
      </c>
      <c r="F651" s="158" t="str">
        <f t="shared" si="4"/>
        <v/>
      </c>
      <c r="I651" s="1"/>
      <c r="L651" s="253"/>
    </row>
    <row r="652">
      <c r="C652" s="249" t="str">
        <f t="shared" si="23"/>
        <v/>
      </c>
      <c r="F652" s="158" t="str">
        <f t="shared" si="4"/>
        <v/>
      </c>
      <c r="I652" s="1"/>
      <c r="L652" s="253"/>
    </row>
    <row r="653">
      <c r="C653" s="249" t="str">
        <f t="shared" si="23"/>
        <v/>
      </c>
      <c r="F653" s="158" t="str">
        <f t="shared" si="4"/>
        <v/>
      </c>
      <c r="I653" s="1"/>
      <c r="L653" s="253"/>
    </row>
    <row r="654">
      <c r="C654" s="249" t="str">
        <f t="shared" si="23"/>
        <v/>
      </c>
      <c r="F654" s="158" t="str">
        <f t="shared" si="4"/>
        <v/>
      </c>
      <c r="I654" s="1"/>
      <c r="L654" s="253"/>
    </row>
    <row r="655">
      <c r="C655" s="249" t="str">
        <f t="shared" si="23"/>
        <v/>
      </c>
      <c r="F655" s="158" t="str">
        <f t="shared" si="4"/>
        <v/>
      </c>
      <c r="I655" s="1"/>
      <c r="L655" s="253"/>
    </row>
    <row r="656">
      <c r="C656" s="249" t="str">
        <f t="shared" si="23"/>
        <v/>
      </c>
      <c r="F656" s="158" t="str">
        <f t="shared" si="4"/>
        <v/>
      </c>
      <c r="I656" s="1"/>
      <c r="L656" s="253"/>
    </row>
    <row r="657">
      <c r="C657" s="249" t="str">
        <f t="shared" si="23"/>
        <v/>
      </c>
      <c r="F657" s="158" t="str">
        <f t="shared" si="4"/>
        <v/>
      </c>
      <c r="I657" s="1"/>
      <c r="L657" s="253"/>
    </row>
    <row r="658">
      <c r="C658" s="249" t="str">
        <f t="shared" si="23"/>
        <v/>
      </c>
      <c r="F658" s="158" t="str">
        <f t="shared" si="4"/>
        <v/>
      </c>
      <c r="I658" s="1"/>
      <c r="L658" s="253"/>
    </row>
    <row r="659">
      <c r="C659" s="249" t="str">
        <f t="shared" si="23"/>
        <v/>
      </c>
      <c r="F659" s="158" t="str">
        <f t="shared" si="4"/>
        <v/>
      </c>
      <c r="I659" s="1"/>
      <c r="L659" s="253"/>
    </row>
    <row r="660">
      <c r="C660" s="249" t="str">
        <f t="shared" si="23"/>
        <v/>
      </c>
      <c r="F660" s="158" t="str">
        <f t="shared" si="4"/>
        <v/>
      </c>
      <c r="I660" s="1"/>
      <c r="L660" s="253"/>
    </row>
    <row r="661">
      <c r="C661" s="249" t="str">
        <f t="shared" si="23"/>
        <v/>
      </c>
      <c r="F661" s="158" t="str">
        <f t="shared" si="4"/>
        <v/>
      </c>
      <c r="I661" s="1"/>
      <c r="L661" s="253"/>
    </row>
    <row r="662">
      <c r="C662" s="249" t="str">
        <f t="shared" si="23"/>
        <v/>
      </c>
      <c r="F662" s="158" t="str">
        <f t="shared" si="4"/>
        <v/>
      </c>
      <c r="I662" s="1"/>
      <c r="L662" s="253"/>
    </row>
    <row r="663">
      <c r="C663" s="249" t="str">
        <f t="shared" si="23"/>
        <v/>
      </c>
      <c r="F663" s="158" t="str">
        <f t="shared" si="4"/>
        <v/>
      </c>
      <c r="I663" s="1"/>
      <c r="L663" s="253"/>
    </row>
    <row r="664">
      <c r="C664" s="249" t="str">
        <f t="shared" si="23"/>
        <v/>
      </c>
      <c r="F664" s="158" t="str">
        <f t="shared" si="4"/>
        <v/>
      </c>
      <c r="I664" s="1"/>
      <c r="L664" s="253"/>
    </row>
    <row r="665">
      <c r="C665" s="249" t="str">
        <f t="shared" si="23"/>
        <v/>
      </c>
      <c r="F665" s="158" t="str">
        <f t="shared" si="4"/>
        <v/>
      </c>
      <c r="I665" s="1"/>
      <c r="L665" s="253"/>
    </row>
    <row r="666">
      <c r="C666" s="249" t="str">
        <f t="shared" si="23"/>
        <v/>
      </c>
      <c r="F666" s="158" t="str">
        <f t="shared" si="4"/>
        <v/>
      </c>
      <c r="I666" s="1"/>
      <c r="L666" s="253"/>
    </row>
    <row r="667">
      <c r="C667" s="249" t="str">
        <f t="shared" si="23"/>
        <v/>
      </c>
      <c r="F667" s="158" t="str">
        <f t="shared" si="4"/>
        <v/>
      </c>
      <c r="I667" s="1"/>
      <c r="L667" s="253"/>
    </row>
    <row r="668">
      <c r="C668" s="249" t="str">
        <f t="shared" si="23"/>
        <v/>
      </c>
      <c r="F668" s="158" t="str">
        <f t="shared" si="4"/>
        <v/>
      </c>
      <c r="I668" s="1"/>
      <c r="L668" s="253"/>
    </row>
    <row r="669">
      <c r="C669" s="249" t="str">
        <f t="shared" si="23"/>
        <v/>
      </c>
      <c r="F669" s="158" t="str">
        <f t="shared" si="4"/>
        <v/>
      </c>
      <c r="I669" s="1"/>
      <c r="L669" s="253"/>
    </row>
    <row r="670">
      <c r="C670" s="249" t="str">
        <f t="shared" si="23"/>
        <v/>
      </c>
      <c r="F670" s="158" t="str">
        <f t="shared" si="4"/>
        <v/>
      </c>
      <c r="I670" s="1"/>
      <c r="L670" s="253"/>
    </row>
    <row r="671">
      <c r="C671" s="249" t="str">
        <f t="shared" si="23"/>
        <v/>
      </c>
      <c r="F671" s="158" t="str">
        <f t="shared" si="4"/>
        <v/>
      </c>
      <c r="I671" s="1"/>
      <c r="L671" s="253"/>
    </row>
    <row r="672">
      <c r="C672" s="249" t="str">
        <f t="shared" si="23"/>
        <v/>
      </c>
      <c r="F672" s="158" t="str">
        <f t="shared" si="4"/>
        <v/>
      </c>
      <c r="I672" s="1"/>
      <c r="L672" s="253"/>
    </row>
    <row r="673">
      <c r="C673" s="249" t="str">
        <f t="shared" si="23"/>
        <v/>
      </c>
      <c r="F673" s="158" t="str">
        <f t="shared" si="4"/>
        <v/>
      </c>
      <c r="I673" s="1"/>
      <c r="L673" s="253"/>
    </row>
    <row r="674">
      <c r="C674" s="249" t="str">
        <f t="shared" si="23"/>
        <v/>
      </c>
      <c r="F674" s="158" t="str">
        <f t="shared" si="4"/>
        <v/>
      </c>
      <c r="I674" s="1"/>
      <c r="L674" s="253"/>
    </row>
    <row r="675">
      <c r="C675" s="249" t="str">
        <f t="shared" si="23"/>
        <v/>
      </c>
      <c r="F675" s="158" t="str">
        <f t="shared" si="4"/>
        <v/>
      </c>
      <c r="I675" s="1"/>
      <c r="L675" s="253"/>
    </row>
    <row r="676">
      <c r="C676" s="249" t="str">
        <f t="shared" si="23"/>
        <v/>
      </c>
      <c r="F676" s="158" t="str">
        <f t="shared" si="4"/>
        <v/>
      </c>
      <c r="I676" s="1"/>
      <c r="L676" s="253"/>
    </row>
    <row r="677">
      <c r="C677" s="249" t="str">
        <f t="shared" si="23"/>
        <v/>
      </c>
      <c r="F677" s="158" t="str">
        <f t="shared" si="4"/>
        <v/>
      </c>
      <c r="I677" s="1"/>
      <c r="L677" s="253"/>
    </row>
    <row r="678">
      <c r="C678" s="249" t="str">
        <f t="shared" si="23"/>
        <v/>
      </c>
      <c r="F678" s="158" t="str">
        <f t="shared" si="4"/>
        <v/>
      </c>
      <c r="I678" s="1"/>
      <c r="L678" s="253"/>
    </row>
    <row r="679">
      <c r="C679" s="249" t="str">
        <f t="shared" si="23"/>
        <v/>
      </c>
      <c r="F679" s="158" t="str">
        <f t="shared" si="4"/>
        <v/>
      </c>
      <c r="I679" s="1"/>
      <c r="L679" s="253"/>
    </row>
    <row r="680">
      <c r="C680" s="249" t="str">
        <f t="shared" si="23"/>
        <v/>
      </c>
      <c r="F680" s="158" t="str">
        <f t="shared" si="4"/>
        <v/>
      </c>
      <c r="I680" s="1"/>
      <c r="L680" s="253"/>
    </row>
    <row r="681">
      <c r="C681" s="249" t="str">
        <f t="shared" si="23"/>
        <v/>
      </c>
      <c r="F681" s="158" t="str">
        <f t="shared" si="4"/>
        <v/>
      </c>
      <c r="I681" s="1"/>
      <c r="L681" s="253"/>
    </row>
    <row r="682">
      <c r="C682" s="249" t="str">
        <f t="shared" si="23"/>
        <v/>
      </c>
      <c r="F682" s="158" t="str">
        <f t="shared" si="4"/>
        <v/>
      </c>
      <c r="I682" s="1"/>
      <c r="L682" s="253"/>
    </row>
    <row r="683">
      <c r="C683" s="249" t="str">
        <f t="shared" si="23"/>
        <v/>
      </c>
      <c r="F683" s="158" t="str">
        <f t="shared" si="4"/>
        <v/>
      </c>
      <c r="I683" s="1"/>
      <c r="L683" s="253"/>
    </row>
    <row r="684">
      <c r="C684" s="249" t="str">
        <f t="shared" si="23"/>
        <v/>
      </c>
      <c r="F684" s="158" t="str">
        <f t="shared" si="4"/>
        <v/>
      </c>
      <c r="I684" s="1"/>
      <c r="L684" s="253"/>
    </row>
    <row r="685">
      <c r="C685" s="249" t="str">
        <f t="shared" si="23"/>
        <v/>
      </c>
      <c r="F685" s="158" t="str">
        <f t="shared" si="4"/>
        <v/>
      </c>
      <c r="I685" s="1"/>
      <c r="L685" s="253"/>
    </row>
    <row r="686">
      <c r="C686" s="249" t="str">
        <f t="shared" si="23"/>
        <v/>
      </c>
      <c r="F686" s="158" t="str">
        <f t="shared" si="4"/>
        <v/>
      </c>
      <c r="I686" s="1"/>
      <c r="L686" s="253"/>
    </row>
    <row r="687">
      <c r="C687" s="249" t="str">
        <f t="shared" si="23"/>
        <v/>
      </c>
      <c r="F687" s="158" t="str">
        <f t="shared" si="4"/>
        <v/>
      </c>
      <c r="I687" s="1"/>
      <c r="L687" s="253"/>
    </row>
    <row r="688">
      <c r="C688" s="249" t="str">
        <f t="shared" si="23"/>
        <v/>
      </c>
      <c r="F688" s="158" t="str">
        <f t="shared" si="4"/>
        <v/>
      </c>
      <c r="I688" s="1"/>
      <c r="L688" s="253"/>
    </row>
    <row r="689">
      <c r="C689" s="249" t="str">
        <f t="shared" si="23"/>
        <v/>
      </c>
      <c r="F689" s="158" t="str">
        <f t="shared" si="4"/>
        <v/>
      </c>
      <c r="I689" s="1"/>
      <c r="L689" s="253"/>
    </row>
    <row r="690">
      <c r="C690" s="249" t="str">
        <f t="shared" si="23"/>
        <v/>
      </c>
      <c r="F690" s="158" t="str">
        <f t="shared" si="4"/>
        <v/>
      </c>
      <c r="I690" s="1"/>
      <c r="L690" s="253"/>
    </row>
    <row r="691">
      <c r="C691" s="249" t="str">
        <f t="shared" si="23"/>
        <v/>
      </c>
      <c r="F691" s="158" t="str">
        <f t="shared" si="4"/>
        <v/>
      </c>
      <c r="I691" s="1"/>
      <c r="L691" s="253"/>
    </row>
    <row r="692">
      <c r="C692" s="249" t="str">
        <f t="shared" si="23"/>
        <v/>
      </c>
      <c r="F692" s="158" t="str">
        <f t="shared" si="4"/>
        <v/>
      </c>
      <c r="I692" s="1"/>
      <c r="L692" s="253"/>
    </row>
    <row r="693">
      <c r="C693" s="249" t="str">
        <f t="shared" si="23"/>
        <v/>
      </c>
      <c r="F693" s="158" t="str">
        <f t="shared" si="4"/>
        <v/>
      </c>
      <c r="I693" s="1"/>
      <c r="L693" s="253"/>
    </row>
    <row r="694">
      <c r="C694" s="249" t="str">
        <f t="shared" si="23"/>
        <v/>
      </c>
      <c r="F694" s="158" t="str">
        <f t="shared" si="4"/>
        <v/>
      </c>
      <c r="I694" s="1"/>
      <c r="L694" s="253"/>
    </row>
    <row r="695">
      <c r="C695" s="249" t="str">
        <f t="shared" si="23"/>
        <v/>
      </c>
      <c r="F695" s="158" t="str">
        <f t="shared" si="4"/>
        <v/>
      </c>
      <c r="I695" s="1"/>
      <c r="L695" s="253"/>
    </row>
    <row r="696">
      <c r="C696" s="249" t="str">
        <f t="shared" si="23"/>
        <v/>
      </c>
      <c r="F696" s="158" t="str">
        <f t="shared" si="4"/>
        <v/>
      </c>
      <c r="I696" s="1"/>
      <c r="L696" s="253"/>
    </row>
    <row r="697">
      <c r="C697" s="249" t="str">
        <f t="shared" si="23"/>
        <v/>
      </c>
      <c r="F697" s="158" t="str">
        <f t="shared" si="4"/>
        <v/>
      </c>
      <c r="I697" s="1"/>
      <c r="L697" s="253"/>
    </row>
    <row r="698">
      <c r="C698" s="249" t="str">
        <f t="shared" si="23"/>
        <v/>
      </c>
      <c r="F698" s="158" t="str">
        <f t="shared" si="4"/>
        <v/>
      </c>
      <c r="I698" s="1"/>
      <c r="L698" s="253"/>
    </row>
    <row r="699">
      <c r="C699" s="249" t="str">
        <f t="shared" si="23"/>
        <v/>
      </c>
      <c r="F699" s="158" t="str">
        <f t="shared" si="4"/>
        <v/>
      </c>
      <c r="I699" s="1"/>
      <c r="L699" s="253"/>
    </row>
    <row r="700">
      <c r="C700" s="249" t="str">
        <f t="shared" si="23"/>
        <v/>
      </c>
      <c r="F700" s="158" t="str">
        <f t="shared" si="4"/>
        <v/>
      </c>
      <c r="I700" s="1"/>
      <c r="L700" s="253"/>
    </row>
    <row r="701">
      <c r="C701" s="249" t="str">
        <f t="shared" si="23"/>
        <v/>
      </c>
      <c r="F701" s="158" t="str">
        <f t="shared" si="4"/>
        <v/>
      </c>
      <c r="I701" s="1"/>
      <c r="L701" s="253"/>
    </row>
    <row r="702">
      <c r="C702" s="249" t="str">
        <f t="shared" si="23"/>
        <v/>
      </c>
      <c r="F702" s="158" t="str">
        <f t="shared" si="4"/>
        <v/>
      </c>
      <c r="I702" s="1"/>
      <c r="L702" s="253"/>
    </row>
    <row r="703">
      <c r="C703" s="249" t="str">
        <f t="shared" si="23"/>
        <v/>
      </c>
      <c r="F703" s="158" t="str">
        <f t="shared" si="4"/>
        <v/>
      </c>
      <c r="I703" s="1"/>
      <c r="L703" s="253"/>
    </row>
    <row r="704">
      <c r="C704" s="249" t="str">
        <f t="shared" si="23"/>
        <v/>
      </c>
      <c r="F704" s="158" t="str">
        <f t="shared" si="4"/>
        <v/>
      </c>
      <c r="I704" s="1"/>
      <c r="L704" s="253"/>
    </row>
    <row r="705">
      <c r="C705" s="249" t="str">
        <f t="shared" si="23"/>
        <v/>
      </c>
      <c r="F705" s="158" t="str">
        <f t="shared" si="4"/>
        <v/>
      </c>
      <c r="I705" s="1"/>
      <c r="L705" s="253"/>
    </row>
    <row r="706">
      <c r="C706" s="249" t="str">
        <f t="shared" si="23"/>
        <v/>
      </c>
      <c r="F706" s="158" t="str">
        <f t="shared" si="4"/>
        <v/>
      </c>
      <c r="I706" s="1"/>
      <c r="L706" s="253"/>
    </row>
    <row r="707">
      <c r="C707" s="249" t="str">
        <f t="shared" si="23"/>
        <v/>
      </c>
      <c r="F707" s="158" t="str">
        <f t="shared" si="4"/>
        <v/>
      </c>
      <c r="I707" s="1"/>
      <c r="L707" s="253"/>
    </row>
    <row r="708">
      <c r="C708" s="249" t="str">
        <f t="shared" si="23"/>
        <v/>
      </c>
      <c r="F708" s="158" t="str">
        <f t="shared" si="4"/>
        <v/>
      </c>
      <c r="I708" s="1"/>
      <c r="L708" s="253"/>
    </row>
    <row r="709">
      <c r="C709" s="249" t="str">
        <f t="shared" si="23"/>
        <v/>
      </c>
      <c r="F709" s="158" t="str">
        <f t="shared" si="4"/>
        <v/>
      </c>
      <c r="I709" s="1"/>
      <c r="L709" s="253"/>
    </row>
    <row r="710">
      <c r="C710" s="249" t="str">
        <f t="shared" si="23"/>
        <v/>
      </c>
      <c r="F710" s="158" t="str">
        <f t="shared" si="4"/>
        <v/>
      </c>
      <c r="I710" s="1"/>
      <c r="L710" s="253"/>
    </row>
    <row r="711">
      <c r="C711" s="249" t="str">
        <f t="shared" si="23"/>
        <v/>
      </c>
      <c r="F711" s="158" t="str">
        <f t="shared" si="4"/>
        <v/>
      </c>
      <c r="I711" s="1"/>
      <c r="L711" s="253"/>
    </row>
    <row r="712">
      <c r="C712" s="249" t="str">
        <f t="shared" si="23"/>
        <v/>
      </c>
      <c r="F712" s="158" t="str">
        <f t="shared" si="4"/>
        <v/>
      </c>
      <c r="I712" s="1"/>
      <c r="L712" s="253"/>
    </row>
    <row r="713">
      <c r="C713" s="249" t="str">
        <f t="shared" si="23"/>
        <v/>
      </c>
      <c r="F713" s="158" t="str">
        <f t="shared" si="4"/>
        <v/>
      </c>
      <c r="I713" s="1"/>
      <c r="L713" s="253"/>
    </row>
    <row r="714">
      <c r="C714" s="249" t="str">
        <f t="shared" si="23"/>
        <v/>
      </c>
      <c r="F714" s="158" t="str">
        <f t="shared" si="4"/>
        <v/>
      </c>
      <c r="I714" s="1"/>
      <c r="L714" s="253"/>
    </row>
    <row r="715">
      <c r="C715" s="249" t="str">
        <f t="shared" si="23"/>
        <v/>
      </c>
      <c r="F715" s="158" t="str">
        <f t="shared" si="4"/>
        <v/>
      </c>
      <c r="I715" s="1"/>
      <c r="L715" s="253"/>
    </row>
    <row r="716">
      <c r="C716" s="249" t="str">
        <f t="shared" si="23"/>
        <v/>
      </c>
      <c r="F716" s="158" t="str">
        <f t="shared" si="4"/>
        <v/>
      </c>
      <c r="I716" s="1"/>
      <c r="L716" s="253"/>
    </row>
    <row r="717">
      <c r="C717" s="249" t="str">
        <f t="shared" si="23"/>
        <v/>
      </c>
      <c r="F717" s="158" t="str">
        <f t="shared" si="4"/>
        <v/>
      </c>
      <c r="I717" s="1"/>
      <c r="L717" s="253"/>
    </row>
    <row r="718">
      <c r="C718" s="249" t="str">
        <f t="shared" si="23"/>
        <v/>
      </c>
      <c r="F718" s="158" t="str">
        <f t="shared" si="4"/>
        <v/>
      </c>
      <c r="I718" s="1"/>
      <c r="L718" s="253"/>
    </row>
    <row r="719">
      <c r="C719" s="249" t="str">
        <f t="shared" si="23"/>
        <v/>
      </c>
      <c r="F719" s="158" t="str">
        <f t="shared" si="4"/>
        <v/>
      </c>
      <c r="I719" s="1"/>
      <c r="L719" s="253"/>
    </row>
    <row r="720">
      <c r="C720" s="249" t="str">
        <f t="shared" si="23"/>
        <v/>
      </c>
      <c r="F720" s="158" t="str">
        <f t="shared" si="4"/>
        <v/>
      </c>
      <c r="I720" s="1"/>
      <c r="L720" s="253"/>
    </row>
    <row r="721">
      <c r="C721" s="249" t="str">
        <f t="shared" si="23"/>
        <v/>
      </c>
      <c r="F721" s="158" t="str">
        <f t="shared" si="4"/>
        <v/>
      </c>
      <c r="I721" s="1"/>
      <c r="L721" s="253"/>
    </row>
    <row r="722">
      <c r="C722" s="249" t="str">
        <f t="shared" si="23"/>
        <v/>
      </c>
      <c r="F722" s="158" t="str">
        <f t="shared" si="4"/>
        <v/>
      </c>
      <c r="I722" s="1"/>
      <c r="L722" s="253"/>
    </row>
    <row r="723">
      <c r="C723" s="249" t="str">
        <f t="shared" si="23"/>
        <v/>
      </c>
      <c r="F723" s="158" t="str">
        <f t="shared" si="4"/>
        <v/>
      </c>
      <c r="I723" s="1"/>
      <c r="L723" s="253"/>
    </row>
    <row r="724">
      <c r="C724" s="249" t="str">
        <f t="shared" si="23"/>
        <v/>
      </c>
      <c r="F724" s="158" t="str">
        <f t="shared" si="4"/>
        <v/>
      </c>
      <c r="I724" s="1"/>
      <c r="L724" s="253"/>
    </row>
    <row r="725">
      <c r="C725" s="249" t="str">
        <f t="shared" si="23"/>
        <v/>
      </c>
      <c r="F725" s="158" t="str">
        <f t="shared" si="4"/>
        <v/>
      </c>
      <c r="I725" s="1"/>
      <c r="L725" s="253"/>
    </row>
    <row r="726">
      <c r="C726" s="249" t="str">
        <f t="shared" si="23"/>
        <v/>
      </c>
      <c r="F726" s="158" t="str">
        <f t="shared" si="4"/>
        <v/>
      </c>
      <c r="I726" s="1"/>
      <c r="L726" s="253"/>
    </row>
    <row r="727">
      <c r="C727" s="249" t="str">
        <f t="shared" si="23"/>
        <v/>
      </c>
      <c r="F727" s="158" t="str">
        <f t="shared" si="4"/>
        <v/>
      </c>
      <c r="I727" s="1"/>
      <c r="L727" s="253"/>
    </row>
    <row r="728">
      <c r="C728" s="249" t="str">
        <f t="shared" si="23"/>
        <v/>
      </c>
      <c r="F728" s="158" t="str">
        <f t="shared" si="4"/>
        <v/>
      </c>
      <c r="I728" s="1"/>
      <c r="L728" s="253"/>
    </row>
    <row r="729">
      <c r="C729" s="249" t="str">
        <f t="shared" si="23"/>
        <v/>
      </c>
      <c r="F729" s="158" t="str">
        <f t="shared" si="4"/>
        <v/>
      </c>
      <c r="I729" s="1"/>
      <c r="L729" s="253"/>
    </row>
    <row r="730">
      <c r="C730" s="249" t="str">
        <f t="shared" si="23"/>
        <v/>
      </c>
      <c r="F730" s="158" t="str">
        <f t="shared" si="4"/>
        <v/>
      </c>
      <c r="I730" s="1"/>
      <c r="L730" s="253"/>
    </row>
    <row r="731">
      <c r="C731" s="249" t="str">
        <f t="shared" si="23"/>
        <v/>
      </c>
      <c r="F731" s="158" t="str">
        <f t="shared" si="4"/>
        <v/>
      </c>
      <c r="I731" s="1"/>
      <c r="L731" s="253"/>
    </row>
    <row r="732">
      <c r="C732" s="249" t="str">
        <f t="shared" si="23"/>
        <v/>
      </c>
      <c r="F732" s="158" t="str">
        <f t="shared" si="4"/>
        <v/>
      </c>
      <c r="I732" s="1"/>
      <c r="L732" s="253"/>
    </row>
    <row r="733">
      <c r="C733" s="249" t="str">
        <f t="shared" si="23"/>
        <v/>
      </c>
      <c r="F733" s="158" t="str">
        <f t="shared" si="4"/>
        <v/>
      </c>
      <c r="I733" s="1"/>
      <c r="L733" s="253"/>
    </row>
    <row r="734">
      <c r="C734" s="249" t="str">
        <f t="shared" si="23"/>
        <v/>
      </c>
      <c r="F734" s="158" t="str">
        <f t="shared" si="4"/>
        <v/>
      </c>
      <c r="I734" s="1"/>
      <c r="L734" s="253"/>
    </row>
    <row r="735">
      <c r="C735" s="249" t="str">
        <f t="shared" si="23"/>
        <v/>
      </c>
      <c r="F735" s="158" t="str">
        <f t="shared" si="4"/>
        <v/>
      </c>
      <c r="I735" s="1"/>
      <c r="L735" s="253"/>
    </row>
    <row r="736">
      <c r="C736" s="249" t="str">
        <f t="shared" si="23"/>
        <v/>
      </c>
      <c r="F736" s="158" t="str">
        <f t="shared" si="4"/>
        <v/>
      </c>
      <c r="I736" s="1"/>
      <c r="L736" s="253"/>
    </row>
    <row r="737">
      <c r="C737" s="249" t="str">
        <f t="shared" si="23"/>
        <v/>
      </c>
      <c r="F737" s="158" t="str">
        <f t="shared" si="4"/>
        <v/>
      </c>
      <c r="I737" s="1"/>
      <c r="L737" s="253"/>
    </row>
    <row r="738">
      <c r="C738" s="249" t="str">
        <f t="shared" si="23"/>
        <v/>
      </c>
      <c r="F738" s="158" t="str">
        <f t="shared" si="4"/>
        <v/>
      </c>
      <c r="I738" s="1"/>
      <c r="L738" s="253"/>
    </row>
    <row r="739">
      <c r="C739" s="249" t="str">
        <f t="shared" si="23"/>
        <v/>
      </c>
      <c r="F739" s="158" t="str">
        <f t="shared" si="4"/>
        <v/>
      </c>
      <c r="I739" s="1"/>
      <c r="L739" s="253"/>
    </row>
    <row r="740">
      <c r="C740" s="249" t="str">
        <f t="shared" si="23"/>
        <v/>
      </c>
      <c r="F740" s="158" t="str">
        <f t="shared" si="4"/>
        <v/>
      </c>
      <c r="I740" s="1"/>
      <c r="L740" s="253"/>
    </row>
    <row r="741">
      <c r="C741" s="249" t="str">
        <f t="shared" si="23"/>
        <v/>
      </c>
      <c r="F741" s="158" t="str">
        <f t="shared" si="4"/>
        <v/>
      </c>
      <c r="I741" s="1"/>
      <c r="L741" s="253"/>
    </row>
    <row r="742">
      <c r="C742" s="249" t="str">
        <f t="shared" si="23"/>
        <v/>
      </c>
      <c r="F742" s="158" t="str">
        <f t="shared" si="4"/>
        <v/>
      </c>
      <c r="I742" s="1"/>
      <c r="L742" s="253"/>
    </row>
    <row r="743">
      <c r="C743" s="249" t="str">
        <f t="shared" si="23"/>
        <v/>
      </c>
      <c r="F743" s="158" t="str">
        <f t="shared" si="4"/>
        <v/>
      </c>
      <c r="I743" s="1"/>
      <c r="L743" s="253"/>
    </row>
    <row r="744">
      <c r="C744" s="249" t="str">
        <f t="shared" si="23"/>
        <v/>
      </c>
      <c r="F744" s="158" t="str">
        <f t="shared" si="4"/>
        <v/>
      </c>
      <c r="I744" s="1"/>
      <c r="L744" s="253"/>
    </row>
    <row r="745">
      <c r="C745" s="249" t="str">
        <f t="shared" si="23"/>
        <v/>
      </c>
      <c r="F745" s="158" t="str">
        <f t="shared" si="4"/>
        <v/>
      </c>
      <c r="I745" s="1"/>
      <c r="L745" s="253"/>
    </row>
    <row r="746">
      <c r="C746" s="249" t="str">
        <f t="shared" si="23"/>
        <v/>
      </c>
      <c r="F746" s="158" t="str">
        <f t="shared" si="4"/>
        <v/>
      </c>
      <c r="I746" s="1"/>
      <c r="L746" s="253"/>
    </row>
    <row r="747">
      <c r="C747" s="249" t="str">
        <f t="shared" si="23"/>
        <v/>
      </c>
      <c r="F747" s="158" t="str">
        <f t="shared" si="4"/>
        <v/>
      </c>
      <c r="I747" s="1"/>
      <c r="L747" s="253"/>
    </row>
    <row r="748">
      <c r="C748" s="249" t="str">
        <f t="shared" si="23"/>
        <v/>
      </c>
      <c r="F748" s="158" t="str">
        <f t="shared" si="4"/>
        <v/>
      </c>
      <c r="I748" s="1"/>
      <c r="L748" s="253"/>
    </row>
    <row r="749">
      <c r="C749" s="249" t="str">
        <f t="shared" si="23"/>
        <v/>
      </c>
      <c r="F749" s="158" t="str">
        <f t="shared" si="4"/>
        <v/>
      </c>
      <c r="I749" s="1"/>
      <c r="L749" s="253"/>
    </row>
    <row r="750">
      <c r="C750" s="249" t="str">
        <f t="shared" si="23"/>
        <v/>
      </c>
      <c r="F750" s="158" t="str">
        <f t="shared" si="4"/>
        <v/>
      </c>
      <c r="I750" s="1"/>
      <c r="L750" s="253"/>
    </row>
    <row r="751">
      <c r="C751" s="249" t="str">
        <f t="shared" si="23"/>
        <v/>
      </c>
      <c r="F751" s="158" t="str">
        <f t="shared" si="4"/>
        <v/>
      </c>
      <c r="I751" s="1"/>
      <c r="L751" s="253"/>
    </row>
    <row r="752">
      <c r="C752" s="249" t="str">
        <f t="shared" si="23"/>
        <v/>
      </c>
      <c r="F752" s="158" t="str">
        <f t="shared" si="4"/>
        <v/>
      </c>
      <c r="I752" s="1"/>
      <c r="L752" s="253"/>
    </row>
    <row r="753">
      <c r="C753" s="249" t="str">
        <f t="shared" si="23"/>
        <v/>
      </c>
      <c r="F753" s="158" t="str">
        <f t="shared" si="4"/>
        <v/>
      </c>
      <c r="I753" s="1"/>
      <c r="L753" s="253"/>
    </row>
    <row r="754">
      <c r="C754" s="249" t="str">
        <f t="shared" si="23"/>
        <v/>
      </c>
      <c r="F754" s="158" t="str">
        <f t="shared" si="4"/>
        <v/>
      </c>
      <c r="I754" s="1"/>
      <c r="L754" s="253"/>
    </row>
    <row r="755">
      <c r="C755" s="249" t="str">
        <f t="shared" si="23"/>
        <v/>
      </c>
      <c r="F755" s="158" t="str">
        <f t="shared" si="4"/>
        <v/>
      </c>
      <c r="I755" s="1"/>
      <c r="L755" s="253"/>
    </row>
    <row r="756">
      <c r="C756" s="249" t="str">
        <f t="shared" si="23"/>
        <v/>
      </c>
      <c r="F756" s="158" t="str">
        <f t="shared" si="4"/>
        <v/>
      </c>
      <c r="I756" s="1"/>
      <c r="L756" s="253"/>
    </row>
    <row r="757">
      <c r="C757" s="249" t="str">
        <f t="shared" si="23"/>
        <v/>
      </c>
      <c r="F757" s="158" t="str">
        <f t="shared" si="4"/>
        <v/>
      </c>
      <c r="I757" s="1"/>
      <c r="L757" s="253"/>
    </row>
    <row r="758">
      <c r="C758" s="249" t="str">
        <f t="shared" si="23"/>
        <v/>
      </c>
      <c r="F758" s="158" t="str">
        <f t="shared" si="4"/>
        <v/>
      </c>
      <c r="I758" s="1"/>
      <c r="L758" s="253"/>
    </row>
    <row r="759">
      <c r="C759" s="249" t="str">
        <f t="shared" si="23"/>
        <v/>
      </c>
      <c r="F759" s="158" t="str">
        <f t="shared" si="4"/>
        <v/>
      </c>
      <c r="I759" s="1"/>
      <c r="L759" s="253"/>
    </row>
    <row r="760">
      <c r="F760" s="158" t="str">
        <f t="shared" si="4"/>
        <v/>
      </c>
      <c r="I760" s="1"/>
      <c r="L760" s="253"/>
    </row>
    <row r="761">
      <c r="F761" s="158" t="str">
        <f t="shared" si="4"/>
        <v/>
      </c>
      <c r="I761" s="1"/>
      <c r="L761" s="253"/>
    </row>
    <row r="762">
      <c r="F762" s="158" t="str">
        <f t="shared" si="4"/>
        <v/>
      </c>
      <c r="I762" s="1"/>
      <c r="L762" s="253"/>
    </row>
    <row r="763">
      <c r="F763" s="158" t="str">
        <f t="shared" si="4"/>
        <v/>
      </c>
      <c r="I763" s="1"/>
      <c r="L763" s="253"/>
    </row>
    <row r="764">
      <c r="F764" s="158" t="str">
        <f t="shared" si="4"/>
        <v/>
      </c>
      <c r="I764" s="1"/>
      <c r="L764" s="253"/>
    </row>
    <row r="765">
      <c r="F765" s="158" t="str">
        <f t="shared" si="4"/>
        <v/>
      </c>
      <c r="I765" s="1"/>
      <c r="L765" s="253"/>
    </row>
    <row r="766">
      <c r="F766" s="158" t="str">
        <f t="shared" si="4"/>
        <v/>
      </c>
      <c r="I766" s="1"/>
      <c r="L766" s="253"/>
    </row>
    <row r="767">
      <c r="F767" s="158" t="str">
        <f t="shared" si="4"/>
        <v/>
      </c>
      <c r="I767" s="1"/>
      <c r="L767" s="253"/>
    </row>
    <row r="768">
      <c r="F768" s="158" t="str">
        <f t="shared" si="4"/>
        <v/>
      </c>
      <c r="I768" s="1"/>
      <c r="L768" s="253"/>
    </row>
    <row r="769">
      <c r="F769" s="158" t="str">
        <f t="shared" si="4"/>
        <v/>
      </c>
      <c r="I769" s="1"/>
      <c r="L769" s="253"/>
    </row>
    <row r="770">
      <c r="F770" s="158" t="str">
        <f t="shared" si="4"/>
        <v/>
      </c>
      <c r="I770" s="1"/>
      <c r="L770" s="253"/>
    </row>
    <row r="771">
      <c r="F771" s="158" t="str">
        <f t="shared" si="4"/>
        <v/>
      </c>
      <c r="I771" s="1"/>
      <c r="L771" s="253"/>
    </row>
    <row r="772">
      <c r="F772" s="158" t="str">
        <f t="shared" si="4"/>
        <v/>
      </c>
      <c r="I772" s="1"/>
      <c r="L772" s="253"/>
    </row>
    <row r="773">
      <c r="F773" s="158" t="str">
        <f t="shared" si="4"/>
        <v/>
      </c>
      <c r="I773" s="1"/>
      <c r="L773" s="253"/>
    </row>
    <row r="774">
      <c r="F774" s="158" t="str">
        <f t="shared" si="4"/>
        <v/>
      </c>
      <c r="I774" s="1"/>
      <c r="L774" s="253"/>
    </row>
    <row r="775">
      <c r="F775" s="158" t="str">
        <f t="shared" si="4"/>
        <v/>
      </c>
      <c r="I775" s="1"/>
      <c r="L775" s="253"/>
    </row>
    <row r="776">
      <c r="F776" s="158" t="str">
        <f t="shared" si="4"/>
        <v/>
      </c>
      <c r="I776" s="1"/>
      <c r="L776" s="253"/>
    </row>
    <row r="777">
      <c r="F777" s="158" t="str">
        <f t="shared" si="4"/>
        <v/>
      </c>
      <c r="I777" s="1"/>
      <c r="L777" s="253"/>
    </row>
    <row r="778">
      <c r="F778" s="158" t="str">
        <f t="shared" si="4"/>
        <v/>
      </c>
      <c r="I778" s="1"/>
      <c r="L778" s="253"/>
    </row>
    <row r="779">
      <c r="F779" s="158" t="str">
        <f t="shared" si="4"/>
        <v/>
      </c>
      <c r="I779" s="1"/>
      <c r="L779" s="253"/>
    </row>
    <row r="780">
      <c r="F780" s="158" t="str">
        <f t="shared" si="4"/>
        <v/>
      </c>
      <c r="I780" s="1"/>
      <c r="L780" s="253"/>
    </row>
    <row r="781">
      <c r="F781" s="158" t="str">
        <f t="shared" si="4"/>
        <v/>
      </c>
      <c r="I781" s="1"/>
      <c r="L781" s="253"/>
    </row>
    <row r="782">
      <c r="F782" s="158" t="str">
        <f t="shared" si="4"/>
        <v/>
      </c>
      <c r="I782" s="1"/>
      <c r="L782" s="253"/>
    </row>
    <row r="783">
      <c r="F783" s="158" t="str">
        <f t="shared" si="4"/>
        <v/>
      </c>
      <c r="I783" s="1"/>
      <c r="L783" s="253"/>
    </row>
    <row r="784">
      <c r="F784" s="158" t="str">
        <f t="shared" si="4"/>
        <v/>
      </c>
      <c r="I784" s="1"/>
      <c r="L784" s="253"/>
    </row>
    <row r="785">
      <c r="F785" s="158" t="str">
        <f t="shared" si="4"/>
        <v/>
      </c>
      <c r="I785" s="1"/>
      <c r="L785" s="253"/>
    </row>
    <row r="786">
      <c r="F786" s="158" t="str">
        <f t="shared" si="4"/>
        <v/>
      </c>
      <c r="I786" s="1"/>
      <c r="L786" s="253"/>
    </row>
    <row r="787">
      <c r="I787" s="1"/>
      <c r="L787" s="253"/>
    </row>
    <row r="788">
      <c r="I788" s="1"/>
      <c r="L788" s="253"/>
    </row>
    <row r="789">
      <c r="I789" s="1"/>
      <c r="L789" s="253"/>
    </row>
    <row r="790">
      <c r="I790" s="1"/>
      <c r="L790" s="253"/>
    </row>
    <row r="791">
      <c r="I791" s="1"/>
      <c r="L791" s="253"/>
    </row>
    <row r="792">
      <c r="I792" s="1"/>
      <c r="L792" s="253"/>
    </row>
    <row r="793">
      <c r="I793" s="1"/>
      <c r="L793" s="253"/>
    </row>
    <row r="794">
      <c r="I794" s="1"/>
      <c r="L794" s="253"/>
    </row>
    <row r="795">
      <c r="I795" s="1"/>
      <c r="L795" s="253"/>
    </row>
    <row r="796">
      <c r="I796" s="1"/>
      <c r="L796" s="253"/>
    </row>
    <row r="797">
      <c r="I797" s="1"/>
      <c r="L797" s="253"/>
    </row>
    <row r="798">
      <c r="I798" s="1"/>
      <c r="L798" s="253"/>
    </row>
    <row r="799">
      <c r="I799" s="1"/>
      <c r="L799" s="253"/>
    </row>
    <row r="800">
      <c r="I800" s="1"/>
      <c r="L800" s="253"/>
    </row>
    <row r="801">
      <c r="I801" s="1"/>
      <c r="L801" s="253"/>
    </row>
    <row r="802">
      <c r="I802" s="1"/>
      <c r="L802" s="253"/>
    </row>
    <row r="803">
      <c r="I803" s="1"/>
      <c r="L803" s="253"/>
    </row>
    <row r="804">
      <c r="I804" s="1"/>
      <c r="L804" s="253"/>
    </row>
    <row r="805">
      <c r="I805" s="1"/>
      <c r="L805" s="253"/>
    </row>
    <row r="806">
      <c r="I806" s="1"/>
      <c r="L806" s="253"/>
    </row>
    <row r="807">
      <c r="I807" s="1"/>
      <c r="L807" s="253"/>
    </row>
    <row r="808">
      <c r="I808" s="1"/>
      <c r="L808" s="253"/>
    </row>
    <row r="809">
      <c r="I809" s="1"/>
      <c r="L809" s="253"/>
    </row>
    <row r="810">
      <c r="I810" s="1"/>
      <c r="L810" s="253"/>
    </row>
    <row r="811">
      <c r="I811" s="1"/>
      <c r="L811" s="253"/>
    </row>
    <row r="812">
      <c r="I812" s="1"/>
      <c r="L812" s="253"/>
    </row>
    <row r="813">
      <c r="I813" s="1"/>
      <c r="L813" s="253"/>
    </row>
    <row r="814">
      <c r="I814" s="1"/>
      <c r="L814" s="253"/>
    </row>
    <row r="815">
      <c r="I815" s="1"/>
      <c r="L815" s="253"/>
    </row>
    <row r="816">
      <c r="I816" s="1"/>
      <c r="L816" s="253"/>
    </row>
    <row r="817">
      <c r="I817" s="1"/>
      <c r="L817" s="253"/>
    </row>
    <row r="818">
      <c r="I818" s="1"/>
      <c r="L818" s="253"/>
    </row>
    <row r="819">
      <c r="I819" s="1"/>
      <c r="L819" s="253"/>
    </row>
    <row r="820">
      <c r="I820" s="1"/>
      <c r="L820" s="253"/>
    </row>
    <row r="821">
      <c r="I821" s="1"/>
      <c r="L821" s="253"/>
    </row>
    <row r="822">
      <c r="I822" s="1"/>
      <c r="L822" s="253"/>
    </row>
    <row r="823">
      <c r="I823" s="1"/>
      <c r="L823" s="253"/>
    </row>
    <row r="824">
      <c r="I824" s="1"/>
      <c r="L824" s="253"/>
    </row>
    <row r="825">
      <c r="I825" s="1"/>
      <c r="L825" s="253"/>
    </row>
    <row r="826">
      <c r="I826" s="1"/>
      <c r="L826" s="253"/>
    </row>
    <row r="827">
      <c r="I827" s="1"/>
      <c r="L827" s="253"/>
    </row>
    <row r="828">
      <c r="I828" s="1"/>
      <c r="L828" s="253"/>
    </row>
    <row r="829">
      <c r="I829" s="1"/>
      <c r="L829" s="253"/>
    </row>
    <row r="830">
      <c r="I830" s="1"/>
      <c r="L830" s="253"/>
    </row>
    <row r="831">
      <c r="I831" s="1"/>
      <c r="L831" s="253"/>
    </row>
    <row r="832">
      <c r="I832" s="1"/>
      <c r="L832" s="253"/>
    </row>
    <row r="833">
      <c r="I833" s="1"/>
      <c r="L833" s="253"/>
    </row>
    <row r="834">
      <c r="I834" s="1"/>
      <c r="L834" s="253"/>
    </row>
    <row r="835">
      <c r="I835" s="1"/>
      <c r="L835" s="253"/>
    </row>
    <row r="836">
      <c r="I836" s="1"/>
      <c r="L836" s="253"/>
    </row>
    <row r="837">
      <c r="I837" s="1"/>
      <c r="L837" s="253"/>
    </row>
    <row r="838">
      <c r="I838" s="1"/>
      <c r="L838" s="253"/>
    </row>
    <row r="839">
      <c r="I839" s="1"/>
      <c r="L839" s="253"/>
    </row>
    <row r="840">
      <c r="I840" s="1"/>
      <c r="L840" s="253"/>
    </row>
    <row r="841">
      <c r="I841" s="1"/>
      <c r="L841" s="253"/>
    </row>
    <row r="842">
      <c r="I842" s="1"/>
      <c r="L842" s="253"/>
    </row>
    <row r="843">
      <c r="I843" s="1"/>
      <c r="L843" s="253"/>
    </row>
    <row r="844">
      <c r="I844" s="1"/>
      <c r="L844" s="253"/>
    </row>
    <row r="845">
      <c r="I845" s="1"/>
      <c r="L845" s="253"/>
    </row>
    <row r="846">
      <c r="I846" s="1"/>
      <c r="L846" s="253"/>
    </row>
    <row r="847">
      <c r="I847" s="1"/>
      <c r="L847" s="253"/>
    </row>
    <row r="848">
      <c r="I848" s="1"/>
      <c r="L848" s="253"/>
    </row>
    <row r="849">
      <c r="I849" s="1"/>
      <c r="L849" s="253"/>
    </row>
    <row r="850">
      <c r="I850" s="1"/>
      <c r="L850" s="253"/>
    </row>
    <row r="851">
      <c r="I851" s="1"/>
      <c r="L851" s="253"/>
    </row>
    <row r="852">
      <c r="I852" s="1"/>
      <c r="L852" s="253"/>
    </row>
    <row r="853">
      <c r="I853" s="1"/>
      <c r="L853" s="253"/>
    </row>
    <row r="854">
      <c r="I854" s="1"/>
      <c r="L854" s="253"/>
    </row>
    <row r="855">
      <c r="I855" s="1"/>
      <c r="L855" s="253"/>
    </row>
    <row r="856">
      <c r="I856" s="1"/>
      <c r="L856" s="253"/>
    </row>
    <row r="857">
      <c r="I857" s="1"/>
      <c r="L857" s="253"/>
    </row>
    <row r="858">
      <c r="I858" s="1"/>
      <c r="L858" s="253"/>
    </row>
    <row r="859">
      <c r="I859" s="1"/>
      <c r="L859" s="253"/>
    </row>
    <row r="860">
      <c r="I860" s="1"/>
      <c r="L860" s="253"/>
    </row>
    <row r="861">
      <c r="I861" s="1"/>
      <c r="L861" s="253"/>
    </row>
    <row r="862">
      <c r="I862" s="1"/>
      <c r="L862" s="253"/>
    </row>
    <row r="863">
      <c r="I863" s="1"/>
      <c r="L863" s="253"/>
    </row>
    <row r="864">
      <c r="I864" s="1"/>
      <c r="L864" s="253"/>
    </row>
    <row r="865">
      <c r="I865" s="1"/>
      <c r="L865" s="253"/>
    </row>
    <row r="866">
      <c r="I866" s="1"/>
      <c r="L866" s="253"/>
    </row>
    <row r="867">
      <c r="I867" s="1"/>
      <c r="L867" s="253"/>
    </row>
    <row r="868">
      <c r="I868" s="1"/>
      <c r="L868" s="253"/>
    </row>
    <row r="869">
      <c r="I869" s="1"/>
      <c r="L869" s="253"/>
    </row>
    <row r="870">
      <c r="I870" s="1"/>
      <c r="L870" s="253"/>
    </row>
    <row r="871">
      <c r="I871" s="1"/>
      <c r="L871" s="253"/>
    </row>
    <row r="872">
      <c r="I872" s="1"/>
      <c r="L872" s="253"/>
    </row>
    <row r="873">
      <c r="I873" s="1"/>
      <c r="L873" s="253"/>
    </row>
    <row r="874">
      <c r="I874" s="1"/>
      <c r="L874" s="253"/>
    </row>
    <row r="875">
      <c r="I875" s="1"/>
      <c r="L875" s="253"/>
    </row>
    <row r="876">
      <c r="I876" s="1"/>
      <c r="L876" s="253"/>
    </row>
    <row r="877">
      <c r="I877" s="1"/>
      <c r="L877" s="253"/>
    </row>
    <row r="878">
      <c r="I878" s="1"/>
      <c r="L878" s="253"/>
    </row>
    <row r="879">
      <c r="I879" s="1"/>
      <c r="L879" s="253"/>
    </row>
    <row r="880">
      <c r="I880" s="1"/>
      <c r="L880" s="253"/>
    </row>
    <row r="881">
      <c r="I881" s="1"/>
      <c r="L881" s="253"/>
    </row>
    <row r="882">
      <c r="I882" s="1"/>
      <c r="L882" s="253"/>
    </row>
    <row r="883">
      <c r="I883" s="1"/>
      <c r="L883" s="253"/>
    </row>
    <row r="884">
      <c r="I884" s="1"/>
      <c r="L884" s="253"/>
    </row>
    <row r="885">
      <c r="I885" s="1"/>
      <c r="L885" s="253"/>
    </row>
    <row r="886">
      <c r="I886" s="1"/>
      <c r="L886" s="253"/>
    </row>
    <row r="887">
      <c r="I887" s="1"/>
      <c r="L887" s="253"/>
    </row>
    <row r="888">
      <c r="I888" s="1"/>
      <c r="L888" s="253"/>
    </row>
    <row r="889">
      <c r="I889" s="1"/>
      <c r="L889" s="253"/>
    </row>
    <row r="890">
      <c r="I890" s="1"/>
      <c r="L890" s="253"/>
    </row>
    <row r="891">
      <c r="I891" s="1"/>
      <c r="L891" s="253"/>
    </row>
    <row r="892">
      <c r="I892" s="1"/>
      <c r="L892" s="253"/>
    </row>
    <row r="893">
      <c r="I893" s="1"/>
      <c r="L893" s="253"/>
    </row>
    <row r="894">
      <c r="I894" s="1"/>
      <c r="L894" s="253"/>
    </row>
    <row r="895">
      <c r="I895" s="1"/>
      <c r="L895" s="253"/>
    </row>
    <row r="896">
      <c r="I896" s="1"/>
      <c r="L896" s="253"/>
    </row>
    <row r="897">
      <c r="I897" s="1"/>
      <c r="L897" s="253"/>
    </row>
    <row r="898">
      <c r="I898" s="1"/>
      <c r="L898" s="253"/>
    </row>
    <row r="899">
      <c r="I899" s="1"/>
      <c r="L899" s="253"/>
    </row>
    <row r="900">
      <c r="I900" s="1"/>
      <c r="L900" s="253"/>
    </row>
    <row r="901">
      <c r="I901" s="1"/>
      <c r="L901" s="253"/>
    </row>
    <row r="902">
      <c r="I902" s="1"/>
      <c r="L902" s="253"/>
    </row>
    <row r="903">
      <c r="I903" s="1"/>
      <c r="L903" s="253"/>
    </row>
    <row r="904">
      <c r="I904" s="1"/>
      <c r="L904" s="253"/>
    </row>
    <row r="905">
      <c r="I905" s="1"/>
      <c r="L905" s="253"/>
    </row>
    <row r="906">
      <c r="I906" s="1"/>
      <c r="L906" s="253"/>
    </row>
    <row r="907">
      <c r="I907" s="1"/>
      <c r="L907" s="253"/>
    </row>
    <row r="908">
      <c r="I908" s="1"/>
      <c r="L908" s="253"/>
    </row>
    <row r="909">
      <c r="I909" s="1"/>
      <c r="L909" s="253"/>
    </row>
    <row r="910">
      <c r="I910" s="1"/>
      <c r="L910" s="253"/>
    </row>
    <row r="911">
      <c r="I911" s="1"/>
      <c r="L911" s="253"/>
    </row>
    <row r="912">
      <c r="I912" s="1"/>
      <c r="L912" s="253"/>
    </row>
    <row r="913">
      <c r="I913" s="1"/>
      <c r="L913" s="253"/>
    </row>
    <row r="914">
      <c r="I914" s="1"/>
      <c r="L914" s="253"/>
    </row>
    <row r="915">
      <c r="I915" s="1"/>
      <c r="L915" s="253"/>
    </row>
    <row r="916">
      <c r="I916" s="1"/>
      <c r="L916" s="253"/>
    </row>
    <row r="917">
      <c r="I917" s="1"/>
      <c r="L917" s="253"/>
    </row>
    <row r="918">
      <c r="I918" s="1"/>
      <c r="L918" s="253"/>
    </row>
    <row r="919">
      <c r="I919" s="1"/>
      <c r="L919" s="253"/>
    </row>
    <row r="920">
      <c r="I920" s="1"/>
      <c r="L920" s="253"/>
    </row>
    <row r="921">
      <c r="I921" s="1"/>
      <c r="L921" s="253"/>
    </row>
    <row r="922">
      <c r="I922" s="1"/>
      <c r="L922" s="253"/>
    </row>
    <row r="923">
      <c r="I923" s="1"/>
      <c r="L923" s="253"/>
    </row>
    <row r="924">
      <c r="I924" s="1"/>
      <c r="L924" s="253"/>
    </row>
    <row r="925">
      <c r="I925" s="1"/>
      <c r="L925" s="253"/>
    </row>
    <row r="926">
      <c r="I926" s="1"/>
      <c r="L926" s="253"/>
    </row>
    <row r="927">
      <c r="I927" s="1"/>
      <c r="L927" s="253"/>
    </row>
    <row r="928">
      <c r="I928" s="1"/>
      <c r="L928" s="253"/>
    </row>
    <row r="929">
      <c r="I929" s="1"/>
      <c r="L929" s="253"/>
    </row>
    <row r="930">
      <c r="I930" s="1"/>
      <c r="L930" s="253"/>
    </row>
    <row r="931">
      <c r="I931" s="1"/>
      <c r="L931" s="253"/>
    </row>
    <row r="932">
      <c r="I932" s="1"/>
      <c r="L932" s="253"/>
    </row>
    <row r="933">
      <c r="I933" s="1"/>
      <c r="L933" s="253"/>
    </row>
    <row r="934">
      <c r="I934" s="1"/>
      <c r="L934" s="253"/>
    </row>
    <row r="935">
      <c r="I935" s="1"/>
      <c r="L935" s="253"/>
    </row>
    <row r="936">
      <c r="I936" s="1"/>
      <c r="L936" s="253"/>
    </row>
    <row r="937">
      <c r="I937" s="1"/>
      <c r="L937" s="253"/>
    </row>
    <row r="938">
      <c r="I938" s="1"/>
      <c r="L938" s="253"/>
    </row>
    <row r="939">
      <c r="I939" s="1"/>
      <c r="L939" s="253"/>
    </row>
    <row r="940">
      <c r="I940" s="1"/>
      <c r="L940" s="253"/>
    </row>
    <row r="941">
      <c r="I941" s="1"/>
      <c r="L941" s="253"/>
    </row>
    <row r="942">
      <c r="I942" s="1"/>
      <c r="L942" s="253"/>
    </row>
    <row r="943">
      <c r="I943" s="1"/>
      <c r="L943" s="253"/>
    </row>
    <row r="944">
      <c r="I944" s="1"/>
      <c r="L944" s="253"/>
    </row>
    <row r="945">
      <c r="I945" s="1"/>
      <c r="L945" s="253"/>
    </row>
    <row r="946">
      <c r="I946" s="1"/>
      <c r="L946" s="253"/>
    </row>
    <row r="947">
      <c r="I947" s="1"/>
      <c r="L947" s="253"/>
    </row>
    <row r="948">
      <c r="I948" s="1"/>
      <c r="L948" s="253"/>
    </row>
    <row r="949">
      <c r="I949" s="1"/>
      <c r="L949" s="253"/>
    </row>
    <row r="950">
      <c r="I950" s="1"/>
      <c r="L950" s="253"/>
    </row>
    <row r="951">
      <c r="I951" s="1"/>
      <c r="L951" s="253"/>
    </row>
    <row r="952">
      <c r="I952" s="1"/>
      <c r="L952" s="253"/>
    </row>
    <row r="953">
      <c r="I953" s="1"/>
      <c r="L953" s="253"/>
    </row>
    <row r="954">
      <c r="I954" s="1"/>
      <c r="L954" s="253"/>
    </row>
    <row r="955">
      <c r="I955" s="1"/>
      <c r="L955" s="253"/>
    </row>
    <row r="956">
      <c r="I956" s="1"/>
      <c r="L956" s="253"/>
    </row>
    <row r="957">
      <c r="I957" s="1"/>
      <c r="L957" s="253"/>
    </row>
    <row r="958">
      <c r="I958" s="1"/>
      <c r="L958" s="253"/>
    </row>
    <row r="959">
      <c r="I959" s="1"/>
      <c r="L959" s="253"/>
    </row>
    <row r="960">
      <c r="I960" s="1"/>
      <c r="L960" s="253"/>
    </row>
    <row r="961">
      <c r="I961" s="1"/>
      <c r="L961" s="253"/>
    </row>
    <row r="962">
      <c r="I962" s="1"/>
      <c r="L962" s="253"/>
    </row>
    <row r="963">
      <c r="I963" s="1"/>
      <c r="L963" s="253"/>
    </row>
    <row r="964">
      <c r="I964" s="1"/>
      <c r="L964" s="253"/>
    </row>
    <row r="965">
      <c r="I965" s="1"/>
      <c r="L965" s="253"/>
    </row>
    <row r="966">
      <c r="I966" s="1"/>
      <c r="L966" s="253"/>
    </row>
    <row r="967">
      <c r="I967" s="1"/>
      <c r="L967" s="253"/>
    </row>
    <row r="968">
      <c r="I968" s="1"/>
      <c r="L968" s="253"/>
    </row>
    <row r="969">
      <c r="I969" s="1"/>
      <c r="L969" s="253"/>
    </row>
    <row r="970">
      <c r="I970" s="1"/>
      <c r="L970" s="253"/>
    </row>
    <row r="971">
      <c r="I971" s="1"/>
      <c r="L971" s="253"/>
    </row>
    <row r="972">
      <c r="I972" s="1"/>
      <c r="L972" s="253"/>
    </row>
    <row r="973">
      <c r="I973" s="1"/>
      <c r="L973" s="253"/>
    </row>
    <row r="974">
      <c r="I974" s="1"/>
      <c r="L974" s="253"/>
    </row>
    <row r="975">
      <c r="I975" s="1"/>
      <c r="L975" s="253"/>
    </row>
    <row r="976">
      <c r="I976" s="1"/>
      <c r="L976" s="253"/>
    </row>
    <row r="977">
      <c r="I977" s="1"/>
      <c r="L977" s="253"/>
    </row>
    <row r="978">
      <c r="I978" s="1"/>
      <c r="L978" s="253"/>
    </row>
    <row r="979">
      <c r="I979" s="1"/>
      <c r="L979" s="253"/>
    </row>
    <row r="980">
      <c r="I980" s="1"/>
      <c r="L980" s="253"/>
    </row>
    <row r="981">
      <c r="I981" s="1"/>
      <c r="L981" s="253"/>
    </row>
    <row r="982">
      <c r="I982" s="1"/>
      <c r="L982" s="253"/>
    </row>
    <row r="983">
      <c r="I983" s="1"/>
      <c r="L983" s="253"/>
    </row>
    <row r="984">
      <c r="I984" s="1"/>
      <c r="L984" s="253"/>
    </row>
    <row r="985">
      <c r="I985" s="1"/>
      <c r="L985" s="253"/>
    </row>
    <row r="986">
      <c r="I986" s="1"/>
      <c r="L986" s="253"/>
    </row>
    <row r="987">
      <c r="I987" s="1"/>
      <c r="L987" s="253"/>
    </row>
    <row r="988">
      <c r="I988" s="1"/>
      <c r="L988" s="253"/>
    </row>
    <row r="989">
      <c r="I989" s="1"/>
      <c r="L989" s="253"/>
    </row>
    <row r="990">
      <c r="I990" s="1"/>
      <c r="L990" s="253"/>
    </row>
    <row r="991">
      <c r="I991" s="1"/>
      <c r="L991" s="253"/>
    </row>
    <row r="992">
      <c r="I992" s="1"/>
      <c r="L992" s="253"/>
    </row>
    <row r="993">
      <c r="I993" s="1"/>
      <c r="L993" s="253"/>
    </row>
    <row r="994">
      <c r="I994" s="1"/>
      <c r="L994" s="253"/>
    </row>
    <row r="995">
      <c r="I995" s="1"/>
      <c r="L995" s="253"/>
    </row>
    <row r="996">
      <c r="I996" s="1"/>
      <c r="L996" s="253"/>
    </row>
    <row r="997">
      <c r="I997" s="1"/>
      <c r="L997" s="253"/>
    </row>
    <row r="998">
      <c r="I998" s="1"/>
      <c r="L998" s="253"/>
    </row>
    <row r="999">
      <c r="I999" s="1"/>
      <c r="L999" s="253"/>
    </row>
    <row r="1000">
      <c r="I1000" s="1"/>
      <c r="L1000" s="25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19.13"/>
    <col customWidth="1" min="3" max="3" width="35.25"/>
    <col customWidth="1" min="4" max="4" width="40.38"/>
    <col customWidth="1" min="5" max="5" width="8.5"/>
  </cols>
  <sheetData>
    <row r="1">
      <c r="A1" s="133"/>
      <c r="B1" s="136" t="s">
        <v>209</v>
      </c>
      <c r="C1" s="123" t="s">
        <v>18</v>
      </c>
      <c r="D1" s="123" t="s">
        <v>19</v>
      </c>
      <c r="E1" s="123" t="s">
        <v>252</v>
      </c>
      <c r="F1" s="123" t="s">
        <v>253</v>
      </c>
      <c r="G1" s="123" t="s">
        <v>254</v>
      </c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</row>
    <row r="2">
      <c r="A2" s="133"/>
      <c r="B2" s="136" t="s">
        <v>255</v>
      </c>
      <c r="C2" s="132" t="s">
        <v>256</v>
      </c>
      <c r="D2" s="140" t="s">
        <v>257</v>
      </c>
      <c r="E2" s="132"/>
      <c r="F2" s="255">
        <v>1.0</v>
      </c>
      <c r="G2" s="255">
        <v>2.0</v>
      </c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</row>
    <row r="3">
      <c r="A3" s="133"/>
      <c r="B3" s="136" t="s">
        <v>255</v>
      </c>
      <c r="C3" s="132" t="s">
        <v>258</v>
      </c>
      <c r="D3" s="140" t="s">
        <v>259</v>
      </c>
      <c r="E3" s="132"/>
      <c r="F3" s="255">
        <v>2.0</v>
      </c>
      <c r="G3" s="255">
        <v>3.0</v>
      </c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</row>
    <row r="4">
      <c r="A4" s="133"/>
      <c r="B4" s="136" t="s">
        <v>255</v>
      </c>
      <c r="C4" s="132" t="s">
        <v>260</v>
      </c>
      <c r="D4" s="140" t="s">
        <v>261</v>
      </c>
      <c r="E4" s="132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</row>
    <row r="5">
      <c r="A5" s="133"/>
      <c r="B5" s="136" t="s">
        <v>255</v>
      </c>
      <c r="C5" s="256" t="s">
        <v>262</v>
      </c>
      <c r="D5" s="140" t="s">
        <v>263</v>
      </c>
      <c r="E5" s="132"/>
      <c r="F5" s="255">
        <v>1.0</v>
      </c>
      <c r="G5" s="255">
        <v>2.0</v>
      </c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</row>
    <row r="6">
      <c r="A6" s="133"/>
      <c r="B6" s="136" t="s">
        <v>255</v>
      </c>
      <c r="D6" s="140" t="s">
        <v>264</v>
      </c>
      <c r="E6" s="132"/>
      <c r="F6" s="255">
        <v>1.0</v>
      </c>
      <c r="G6" s="255">
        <v>2.0</v>
      </c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</row>
    <row r="7">
      <c r="A7" s="133"/>
      <c r="B7" s="136" t="s">
        <v>255</v>
      </c>
      <c r="C7" s="132" t="s">
        <v>265</v>
      </c>
      <c r="D7" s="140" t="s">
        <v>266</v>
      </c>
      <c r="E7" s="132"/>
      <c r="F7" s="255">
        <v>2.0</v>
      </c>
      <c r="G7" s="255">
        <v>3.0</v>
      </c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</row>
    <row r="8">
      <c r="A8" s="133"/>
      <c r="B8" s="136" t="s">
        <v>255</v>
      </c>
      <c r="C8" s="132" t="s">
        <v>267</v>
      </c>
      <c r="D8" s="140" t="s">
        <v>268</v>
      </c>
      <c r="E8" s="132"/>
      <c r="F8" s="255">
        <v>7.0</v>
      </c>
      <c r="G8" s="255">
        <v>10.0</v>
      </c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</row>
    <row r="9">
      <c r="A9" s="133"/>
      <c r="B9" s="136" t="s">
        <v>269</v>
      </c>
      <c r="C9" s="132" t="s">
        <v>270</v>
      </c>
      <c r="D9" s="257" t="s">
        <v>271</v>
      </c>
      <c r="E9" s="205"/>
      <c r="F9" s="258">
        <v>1.0</v>
      </c>
      <c r="G9" s="258">
        <v>2.0</v>
      </c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</row>
    <row r="10">
      <c r="A10" s="133"/>
      <c r="B10" s="136" t="s">
        <v>269</v>
      </c>
      <c r="C10" s="132" t="s">
        <v>272</v>
      </c>
      <c r="D10" s="257" t="s">
        <v>273</v>
      </c>
      <c r="E10" s="205"/>
      <c r="F10" s="258">
        <v>1.0</v>
      </c>
      <c r="G10" s="258">
        <v>2.0</v>
      </c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</row>
    <row r="11">
      <c r="A11" s="133"/>
      <c r="B11" s="136" t="s">
        <v>269</v>
      </c>
      <c r="C11" s="132" t="s">
        <v>274</v>
      </c>
      <c r="D11" s="257" t="s">
        <v>275</v>
      </c>
      <c r="E11" s="205"/>
      <c r="F11" s="258">
        <v>1.0</v>
      </c>
      <c r="G11" s="258">
        <v>1.5</v>
      </c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</row>
    <row r="12">
      <c r="A12" s="133"/>
      <c r="B12" s="136" t="s">
        <v>269</v>
      </c>
      <c r="C12" s="132" t="s">
        <v>276</v>
      </c>
      <c r="D12" s="257" t="s">
        <v>277</v>
      </c>
      <c r="E12" s="205"/>
      <c r="F12" s="258">
        <v>0.5</v>
      </c>
      <c r="G12" s="258">
        <v>1.0</v>
      </c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</row>
    <row r="13">
      <c r="A13" s="133"/>
      <c r="B13" s="136" t="s">
        <v>269</v>
      </c>
      <c r="C13" s="132" t="s">
        <v>278</v>
      </c>
      <c r="D13" s="257" t="s">
        <v>279</v>
      </c>
      <c r="E13" s="205"/>
      <c r="F13" s="258">
        <v>1.5</v>
      </c>
      <c r="G13" s="258">
        <v>2.0</v>
      </c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</row>
    <row r="14">
      <c r="A14" s="133"/>
      <c r="B14" s="136" t="s">
        <v>280</v>
      </c>
      <c r="C14" s="259" t="s">
        <v>270</v>
      </c>
      <c r="D14" s="260" t="s">
        <v>271</v>
      </c>
      <c r="E14" s="142"/>
      <c r="F14" s="261">
        <v>1.0</v>
      </c>
      <c r="G14" s="261">
        <v>2.0</v>
      </c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</row>
    <row r="15">
      <c r="A15" s="133"/>
      <c r="B15" s="136" t="s">
        <v>280</v>
      </c>
      <c r="C15" s="259" t="s">
        <v>272</v>
      </c>
      <c r="D15" s="260" t="s">
        <v>273</v>
      </c>
      <c r="E15" s="142"/>
      <c r="F15" s="261">
        <v>1.0</v>
      </c>
      <c r="G15" s="261">
        <v>2.0</v>
      </c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</row>
    <row r="16">
      <c r="A16" s="133"/>
      <c r="B16" s="136" t="s">
        <v>280</v>
      </c>
      <c r="C16" s="190" t="s">
        <v>274</v>
      </c>
      <c r="D16" s="260"/>
      <c r="E16" s="142"/>
      <c r="F16" s="262">
        <v>1.0</v>
      </c>
      <c r="G16" s="262">
        <v>2.0</v>
      </c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</row>
    <row r="17">
      <c r="A17" s="133"/>
      <c r="B17" s="136" t="s">
        <v>280</v>
      </c>
      <c r="C17" s="190" t="s">
        <v>281</v>
      </c>
      <c r="D17" s="260"/>
      <c r="E17" s="142"/>
      <c r="F17" s="262">
        <v>1.0</v>
      </c>
      <c r="G17" s="262">
        <v>2.0</v>
      </c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</row>
    <row r="18">
      <c r="A18" s="133"/>
      <c r="B18" s="136" t="s">
        <v>282</v>
      </c>
      <c r="C18" s="132" t="s">
        <v>283</v>
      </c>
      <c r="D18" s="205" t="s">
        <v>284</v>
      </c>
      <c r="E18" s="116"/>
      <c r="F18" s="255">
        <v>1.0</v>
      </c>
      <c r="G18" s="255">
        <v>1.5</v>
      </c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</row>
    <row r="19">
      <c r="A19" s="133"/>
      <c r="B19" s="136" t="s">
        <v>282</v>
      </c>
      <c r="C19" s="132" t="s">
        <v>285</v>
      </c>
      <c r="D19" s="205" t="s">
        <v>286</v>
      </c>
      <c r="E19" s="116"/>
      <c r="F19" s="255">
        <v>1.0</v>
      </c>
      <c r="G19" s="255">
        <v>2.0</v>
      </c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</row>
    <row r="20">
      <c r="A20" s="133"/>
      <c r="B20" s="136" t="s">
        <v>282</v>
      </c>
      <c r="C20" s="132" t="s">
        <v>287</v>
      </c>
      <c r="D20" s="205" t="s">
        <v>288</v>
      </c>
      <c r="E20" s="116"/>
      <c r="F20" s="255">
        <v>1.0</v>
      </c>
      <c r="G20" s="255">
        <v>2.0</v>
      </c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</row>
    <row r="21">
      <c r="A21" s="133"/>
      <c r="B21" s="136" t="s">
        <v>282</v>
      </c>
      <c r="C21" s="132" t="s">
        <v>289</v>
      </c>
      <c r="D21" s="205" t="s">
        <v>290</v>
      </c>
      <c r="E21" s="116"/>
      <c r="F21" s="255">
        <v>1.0</v>
      </c>
      <c r="G21" s="255">
        <v>2.0</v>
      </c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</row>
    <row r="22">
      <c r="A22" s="133"/>
      <c r="B22" s="136" t="s">
        <v>282</v>
      </c>
      <c r="C22" s="132" t="s">
        <v>291</v>
      </c>
      <c r="D22" s="205" t="s">
        <v>292</v>
      </c>
      <c r="E22" s="116"/>
      <c r="F22" s="255">
        <v>5.0</v>
      </c>
      <c r="G22" s="255">
        <v>10.0</v>
      </c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</row>
    <row r="23">
      <c r="A23" s="133"/>
      <c r="B23" s="136" t="s">
        <v>293</v>
      </c>
      <c r="C23" s="256" t="s">
        <v>294</v>
      </c>
      <c r="D23" s="256" t="s">
        <v>295</v>
      </c>
      <c r="E23" s="133"/>
      <c r="F23" s="256">
        <v>1.0</v>
      </c>
      <c r="G23" s="256">
        <v>1.0</v>
      </c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</row>
    <row r="24">
      <c r="A24" s="133"/>
      <c r="B24" s="136"/>
      <c r="C24" s="263" t="s">
        <v>296</v>
      </c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</row>
    <row r="25">
      <c r="A25" s="133"/>
      <c r="B25" s="136"/>
      <c r="C25" s="263" t="s">
        <v>297</v>
      </c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</row>
    <row r="26">
      <c r="A26" s="133"/>
      <c r="B26" s="136" t="s">
        <v>255</v>
      </c>
      <c r="C26" s="263" t="s">
        <v>298</v>
      </c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</row>
    <row r="27">
      <c r="A27" s="133"/>
      <c r="B27" s="136" t="s">
        <v>255</v>
      </c>
      <c r="C27" s="263" t="s">
        <v>299</v>
      </c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</row>
    <row r="28">
      <c r="A28" s="133"/>
      <c r="B28" s="136"/>
      <c r="C28" s="263" t="s">
        <v>300</v>
      </c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</row>
    <row r="29">
      <c r="A29" s="133"/>
      <c r="B29" s="136"/>
      <c r="C29" s="263" t="s">
        <v>301</v>
      </c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</row>
    <row r="30">
      <c r="A30" s="133"/>
      <c r="B30" s="136"/>
      <c r="C30" s="263" t="s">
        <v>302</v>
      </c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</row>
    <row r="31">
      <c r="A31" s="133"/>
      <c r="B31" s="136"/>
      <c r="C31" s="263" t="s">
        <v>303</v>
      </c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</row>
    <row r="32">
      <c r="A32" s="133"/>
      <c r="B32" s="136"/>
      <c r="C32" s="263" t="s">
        <v>304</v>
      </c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</row>
    <row r="33">
      <c r="A33" s="133"/>
      <c r="B33" s="136"/>
      <c r="C33" s="26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</row>
    <row r="34">
      <c r="A34" s="133"/>
      <c r="B34" s="136"/>
      <c r="C34" s="26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</row>
    <row r="35">
      <c r="A35" s="133"/>
      <c r="B35" s="136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</row>
    <row r="36">
      <c r="A36" s="133"/>
      <c r="B36" s="136"/>
      <c r="C36" s="26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</row>
    <row r="37">
      <c r="A37" s="133"/>
      <c r="B37" s="136"/>
      <c r="C37" s="26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</row>
    <row r="38">
      <c r="A38" s="133"/>
      <c r="B38" s="136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</row>
    <row r="39">
      <c r="A39" s="133"/>
      <c r="B39" s="136"/>
      <c r="C39" s="26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</row>
    <row r="40">
      <c r="A40" s="133"/>
      <c r="B40" s="136"/>
      <c r="C40" s="26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</row>
    <row r="41">
      <c r="A41" s="133"/>
      <c r="B41" s="136"/>
      <c r="C41" s="26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</row>
    <row r="42">
      <c r="A42" s="133"/>
      <c r="B42" s="136"/>
      <c r="C42" s="26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</row>
    <row r="43">
      <c r="A43" s="133"/>
      <c r="B43" s="136"/>
      <c r="C43" s="26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</row>
    <row r="44">
      <c r="A44" s="133"/>
      <c r="B44" s="136"/>
      <c r="C44" s="26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</row>
    <row r="45">
      <c r="A45" s="133"/>
      <c r="B45" s="136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</row>
    <row r="46">
      <c r="A46" s="133"/>
      <c r="B46" s="136"/>
      <c r="C46" s="26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</row>
    <row r="47">
      <c r="A47" s="133"/>
      <c r="B47" s="136"/>
      <c r="C47" s="26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</row>
    <row r="48">
      <c r="A48" s="133"/>
      <c r="B48" s="136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</row>
    <row r="49">
      <c r="A49" s="133"/>
      <c r="B49" s="136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</row>
    <row r="50">
      <c r="A50" s="133"/>
      <c r="B50" s="136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</row>
    <row r="51">
      <c r="A51" s="133"/>
      <c r="B51" s="136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</row>
    <row r="52">
      <c r="A52" s="133"/>
      <c r="B52" s="136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</row>
    <row r="53">
      <c r="A53" s="133"/>
      <c r="B53" s="136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</row>
    <row r="54">
      <c r="A54" s="133"/>
      <c r="B54" s="136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</row>
    <row r="55">
      <c r="A55" s="133"/>
      <c r="B55" s="136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</row>
    <row r="56">
      <c r="A56" s="133"/>
      <c r="B56" s="136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</row>
    <row r="57">
      <c r="A57" s="133"/>
      <c r="B57" s="136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</row>
    <row r="58">
      <c r="A58" s="133"/>
      <c r="B58" s="136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</row>
    <row r="59">
      <c r="A59" s="133"/>
      <c r="B59" s="136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</row>
    <row r="60">
      <c r="A60" s="133"/>
      <c r="B60" s="136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</row>
    <row r="61">
      <c r="A61" s="133"/>
      <c r="B61" s="136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</row>
    <row r="62">
      <c r="A62" s="133"/>
      <c r="B62" s="136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</row>
    <row r="63">
      <c r="A63" s="133"/>
      <c r="B63" s="136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</row>
    <row r="64">
      <c r="A64" s="133"/>
      <c r="B64" s="136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</row>
    <row r="65">
      <c r="A65" s="133"/>
      <c r="B65" s="136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</row>
    <row r="66">
      <c r="A66" s="133"/>
      <c r="B66" s="136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</row>
    <row r="67">
      <c r="A67" s="133"/>
      <c r="B67" s="136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</row>
    <row r="68">
      <c r="A68" s="133"/>
      <c r="B68" s="136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</row>
    <row r="69">
      <c r="A69" s="133"/>
      <c r="B69" s="136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</row>
    <row r="70">
      <c r="A70" s="133"/>
      <c r="B70" s="136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</row>
    <row r="71">
      <c r="A71" s="133"/>
      <c r="B71" s="136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</row>
    <row r="72">
      <c r="A72" s="133"/>
      <c r="B72" s="136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</row>
    <row r="73">
      <c r="A73" s="133"/>
      <c r="B73" s="136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</row>
    <row r="74">
      <c r="A74" s="133"/>
      <c r="B74" s="136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</row>
    <row r="75">
      <c r="A75" s="133"/>
      <c r="B75" s="136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</row>
    <row r="76">
      <c r="A76" s="133"/>
      <c r="B76" s="136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3"/>
    </row>
    <row r="77">
      <c r="A77" s="133"/>
      <c r="B77" s="136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</row>
    <row r="78">
      <c r="A78" s="133"/>
      <c r="B78" s="136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</row>
    <row r="79">
      <c r="A79" s="133"/>
      <c r="B79" s="136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</row>
    <row r="80">
      <c r="A80" s="133"/>
      <c r="B80" s="136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</row>
    <row r="81">
      <c r="A81" s="133"/>
      <c r="B81" s="136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</row>
    <row r="82">
      <c r="A82" s="133"/>
      <c r="B82" s="136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</row>
    <row r="83">
      <c r="A83" s="133"/>
      <c r="B83" s="136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</row>
    <row r="84">
      <c r="A84" s="133"/>
      <c r="B84" s="136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</row>
    <row r="85">
      <c r="A85" s="133"/>
      <c r="B85" s="136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</row>
    <row r="86">
      <c r="A86" s="133"/>
      <c r="B86" s="136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</row>
    <row r="87">
      <c r="A87" s="133"/>
      <c r="B87" s="136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</row>
    <row r="88">
      <c r="A88" s="133"/>
      <c r="B88" s="136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</row>
    <row r="89">
      <c r="A89" s="133"/>
      <c r="B89" s="136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</row>
    <row r="90">
      <c r="A90" s="133"/>
      <c r="B90" s="136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</row>
    <row r="91">
      <c r="A91" s="133"/>
      <c r="B91" s="136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</row>
    <row r="92">
      <c r="A92" s="133"/>
      <c r="B92" s="136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</row>
    <row r="93">
      <c r="A93" s="133"/>
      <c r="B93" s="136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</row>
    <row r="94">
      <c r="A94" s="133"/>
      <c r="B94" s="136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</row>
    <row r="95">
      <c r="A95" s="133"/>
      <c r="B95" s="136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</row>
    <row r="96">
      <c r="A96" s="133"/>
      <c r="B96" s="136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3"/>
    </row>
    <row r="97">
      <c r="A97" s="133"/>
      <c r="B97" s="136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3"/>
    </row>
    <row r="98">
      <c r="A98" s="133"/>
      <c r="B98" s="136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3"/>
    </row>
    <row r="99">
      <c r="A99" s="133"/>
      <c r="B99" s="136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3"/>
    </row>
    <row r="100">
      <c r="A100" s="133"/>
      <c r="B100" s="136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3"/>
    </row>
    <row r="101">
      <c r="A101" s="133"/>
      <c r="B101" s="136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</row>
    <row r="102">
      <c r="A102" s="133"/>
      <c r="B102" s="136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</row>
    <row r="103">
      <c r="A103" s="133"/>
      <c r="B103" s="136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  <c r="AA103" s="133"/>
    </row>
    <row r="104">
      <c r="A104" s="133"/>
      <c r="B104" s="136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  <c r="AA104" s="133"/>
    </row>
    <row r="105">
      <c r="A105" s="133"/>
      <c r="B105" s="136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</row>
    <row r="106">
      <c r="A106" s="133"/>
      <c r="B106" s="136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  <c r="AA106" s="133"/>
    </row>
    <row r="107">
      <c r="A107" s="133"/>
      <c r="B107" s="136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  <c r="AA107" s="133"/>
    </row>
    <row r="108">
      <c r="A108" s="133"/>
      <c r="B108" s="136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  <c r="AA108" s="133"/>
    </row>
    <row r="109">
      <c r="A109" s="133"/>
      <c r="B109" s="136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</row>
    <row r="110">
      <c r="A110" s="133"/>
      <c r="B110" s="136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</row>
    <row r="111">
      <c r="A111" s="133"/>
      <c r="B111" s="136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</row>
    <row r="112">
      <c r="A112" s="133"/>
      <c r="B112" s="136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</row>
    <row r="113">
      <c r="A113" s="133"/>
      <c r="B113" s="136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</row>
    <row r="114">
      <c r="A114" s="133"/>
      <c r="B114" s="136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</row>
    <row r="115">
      <c r="A115" s="133"/>
      <c r="B115" s="136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</row>
    <row r="116">
      <c r="A116" s="133"/>
      <c r="B116" s="136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</row>
    <row r="117">
      <c r="A117" s="133"/>
      <c r="B117" s="136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</row>
    <row r="118">
      <c r="A118" s="133"/>
      <c r="B118" s="136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</row>
    <row r="119">
      <c r="A119" s="133"/>
      <c r="B119" s="136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</row>
    <row r="120">
      <c r="A120" s="133"/>
      <c r="B120" s="136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</row>
    <row r="121">
      <c r="A121" s="133"/>
      <c r="B121" s="136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</row>
    <row r="122">
      <c r="A122" s="133"/>
      <c r="B122" s="136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</row>
    <row r="123">
      <c r="A123" s="133"/>
      <c r="B123" s="136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</row>
    <row r="124">
      <c r="A124" s="133"/>
      <c r="B124" s="136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</row>
    <row r="125">
      <c r="A125" s="133"/>
      <c r="B125" s="136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</row>
    <row r="126">
      <c r="A126" s="133"/>
      <c r="B126" s="136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</row>
    <row r="127">
      <c r="A127" s="133"/>
      <c r="B127" s="136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</row>
    <row r="128">
      <c r="A128" s="133"/>
      <c r="B128" s="136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</row>
    <row r="129">
      <c r="A129" s="133"/>
      <c r="B129" s="136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</row>
    <row r="130">
      <c r="A130" s="133"/>
      <c r="B130" s="136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</row>
    <row r="131">
      <c r="A131" s="133"/>
      <c r="B131" s="136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</row>
    <row r="132">
      <c r="A132" s="133"/>
      <c r="B132" s="136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</row>
    <row r="133">
      <c r="A133" s="133"/>
      <c r="B133" s="136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</row>
    <row r="134">
      <c r="A134" s="133"/>
      <c r="B134" s="136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</row>
    <row r="135">
      <c r="A135" s="133"/>
      <c r="B135" s="136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</row>
    <row r="136">
      <c r="A136" s="133"/>
      <c r="B136" s="136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</row>
    <row r="137">
      <c r="A137" s="133"/>
      <c r="B137" s="136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</row>
    <row r="138">
      <c r="A138" s="133"/>
      <c r="B138" s="136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</row>
    <row r="139">
      <c r="A139" s="133"/>
      <c r="B139" s="136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</row>
    <row r="140">
      <c r="A140" s="133"/>
      <c r="B140" s="136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</row>
    <row r="141">
      <c r="A141" s="133"/>
      <c r="B141" s="136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  <c r="AA141" s="133"/>
    </row>
    <row r="142">
      <c r="A142" s="133"/>
      <c r="B142" s="136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</row>
    <row r="143">
      <c r="A143" s="133"/>
      <c r="B143" s="136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</row>
    <row r="144">
      <c r="A144" s="133"/>
      <c r="B144" s="136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  <c r="AA144" s="133"/>
    </row>
    <row r="145">
      <c r="A145" s="133"/>
      <c r="B145" s="136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</row>
    <row r="146">
      <c r="A146" s="133"/>
      <c r="B146" s="136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</row>
    <row r="147">
      <c r="A147" s="133"/>
      <c r="B147" s="136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</row>
    <row r="148">
      <c r="A148" s="133"/>
      <c r="B148" s="136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</row>
    <row r="149">
      <c r="A149" s="133"/>
      <c r="B149" s="136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</row>
    <row r="150">
      <c r="A150" s="133"/>
      <c r="B150" s="136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</row>
    <row r="151">
      <c r="A151" s="133"/>
      <c r="B151" s="136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</row>
    <row r="152">
      <c r="A152" s="133"/>
      <c r="B152" s="136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</row>
    <row r="153">
      <c r="A153" s="133"/>
      <c r="B153" s="136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</row>
    <row r="154">
      <c r="A154" s="133"/>
      <c r="B154" s="136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</row>
    <row r="155">
      <c r="A155" s="133"/>
      <c r="B155" s="136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</row>
    <row r="156">
      <c r="A156" s="133"/>
      <c r="B156" s="136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</row>
    <row r="157">
      <c r="A157" s="133"/>
      <c r="B157" s="136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</row>
    <row r="158">
      <c r="A158" s="133"/>
      <c r="B158" s="136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</row>
    <row r="159">
      <c r="A159" s="133"/>
      <c r="B159" s="136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</row>
    <row r="160">
      <c r="A160" s="133"/>
      <c r="B160" s="136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</row>
    <row r="161">
      <c r="A161" s="133"/>
      <c r="B161" s="136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</row>
    <row r="162">
      <c r="A162" s="133"/>
      <c r="B162" s="136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</row>
    <row r="163">
      <c r="A163" s="133"/>
      <c r="B163" s="136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</row>
    <row r="164">
      <c r="A164" s="133"/>
      <c r="B164" s="136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</row>
    <row r="165">
      <c r="A165" s="133"/>
      <c r="B165" s="136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</row>
    <row r="166">
      <c r="A166" s="133"/>
      <c r="B166" s="136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</row>
    <row r="167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</row>
    <row r="168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</row>
    <row r="169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</row>
    <row r="170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</row>
    <row r="17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</row>
    <row r="172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</row>
    <row r="173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</row>
    <row r="174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</row>
    <row r="175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</row>
    <row r="176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</row>
    <row r="177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</row>
    <row r="178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</row>
    <row r="179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</row>
    <row r="180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</row>
    <row r="18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</row>
    <row r="182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</row>
    <row r="183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</row>
    <row r="184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</row>
    <row r="185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</row>
    <row r="186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</row>
    <row r="187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</row>
    <row r="188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</row>
    <row r="189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</row>
    <row r="190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</row>
    <row r="19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</row>
    <row r="192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</row>
    <row r="193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</row>
    <row r="194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  <c r="AA194" s="133"/>
    </row>
    <row r="195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</row>
    <row r="196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</row>
    <row r="197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</row>
    <row r="198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</row>
    <row r="199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</row>
    <row r="200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</row>
    <row r="20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</row>
    <row r="202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</row>
    <row r="203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</row>
    <row r="204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</row>
    <row r="205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</row>
    <row r="206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</row>
    <row r="207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</row>
    <row r="208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</row>
    <row r="209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</row>
    <row r="210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</row>
    <row r="21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</row>
    <row r="212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</row>
    <row r="213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</row>
    <row r="214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</row>
    <row r="215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</row>
    <row r="216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</row>
    <row r="217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</row>
    <row r="218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</row>
    <row r="219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</row>
    <row r="220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</row>
    <row r="22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</row>
    <row r="222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</row>
    <row r="223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</row>
    <row r="224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</row>
    <row r="225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</row>
    <row r="226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</row>
    <row r="227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</row>
    <row r="228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</row>
    <row r="229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</row>
    <row r="230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</row>
    <row r="23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</row>
    <row r="232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</row>
    <row r="233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</row>
    <row r="234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</row>
    <row r="235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</row>
    <row r="236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</row>
    <row r="237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</row>
    <row r="238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</row>
    <row r="239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</row>
    <row r="240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</row>
    <row r="24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</row>
    <row r="242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</row>
    <row r="243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</row>
    <row r="244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</row>
    <row r="245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</row>
    <row r="246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</row>
    <row r="247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</row>
    <row r="248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</row>
    <row r="249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</row>
    <row r="250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</row>
    <row r="25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</row>
    <row r="252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</row>
    <row r="253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</row>
    <row r="254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</row>
    <row r="255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</row>
    <row r="256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</row>
    <row r="257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</row>
    <row r="258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</row>
    <row r="259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</row>
    <row r="260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</row>
    <row r="26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</row>
    <row r="262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</row>
    <row r="263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</row>
    <row r="264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</row>
    <row r="265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</row>
    <row r="266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</row>
    <row r="267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</row>
    <row r="268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</row>
    <row r="269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</row>
    <row r="270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</row>
    <row r="27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</row>
    <row r="272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</row>
    <row r="273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</row>
    <row r="274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</row>
    <row r="275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</row>
    <row r="276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</row>
    <row r="277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</row>
    <row r="278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</row>
    <row r="279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</row>
    <row r="280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</row>
    <row r="28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</row>
    <row r="282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</row>
    <row r="283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</row>
    <row r="284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</row>
    <row r="285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</row>
    <row r="286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</row>
    <row r="287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</row>
    <row r="288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</row>
    <row r="289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</row>
    <row r="290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</row>
    <row r="29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</row>
    <row r="292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</row>
    <row r="293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</row>
    <row r="294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</row>
    <row r="295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</row>
    <row r="296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</row>
    <row r="297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</row>
    <row r="298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</row>
    <row r="299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</row>
    <row r="300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</row>
    <row r="30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</row>
    <row r="302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</row>
    <row r="303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</row>
    <row r="304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</row>
    <row r="305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</row>
    <row r="306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</row>
    <row r="307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</row>
    <row r="308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</row>
    <row r="309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</row>
    <row r="310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</row>
    <row r="31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</row>
    <row r="312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</row>
    <row r="313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</row>
    <row r="314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</row>
    <row r="315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</row>
    <row r="316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</row>
    <row r="317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</row>
    <row r="318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</row>
    <row r="319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</row>
    <row r="320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</row>
    <row r="32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</row>
    <row r="322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</row>
    <row r="323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</row>
    <row r="324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</row>
    <row r="325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</row>
    <row r="326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</row>
    <row r="327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</row>
    <row r="328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</row>
    <row r="329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</row>
    <row r="330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</row>
    <row r="33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</row>
    <row r="332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</row>
    <row r="333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</row>
    <row r="334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</row>
    <row r="335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</row>
    <row r="336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</row>
    <row r="337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</row>
    <row r="338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</row>
    <row r="339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</row>
    <row r="340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</row>
    <row r="34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</row>
    <row r="342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</row>
    <row r="343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</row>
    <row r="344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</row>
    <row r="345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</row>
    <row r="346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</row>
    <row r="347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</row>
    <row r="348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</row>
    <row r="349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</row>
    <row r="350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</row>
    <row r="35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</row>
    <row r="352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</row>
    <row r="353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</row>
    <row r="354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</row>
    <row r="355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</row>
    <row r="356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</row>
    <row r="357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</row>
    <row r="358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</row>
    <row r="359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</row>
    <row r="360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</row>
    <row r="36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</row>
    <row r="362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</row>
    <row r="363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</row>
    <row r="364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</row>
    <row r="365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</row>
    <row r="366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</row>
    <row r="367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</row>
    <row r="368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</row>
    <row r="369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/>
    </row>
    <row r="370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</row>
    <row r="37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</row>
    <row r="372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</row>
    <row r="373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</row>
    <row r="374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</row>
    <row r="375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</row>
    <row r="376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</row>
    <row r="377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</row>
    <row r="378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</row>
    <row r="379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</row>
    <row r="380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  <c r="AA380" s="133"/>
    </row>
    <row r="38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  <c r="AA381" s="133"/>
    </row>
    <row r="382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</row>
    <row r="383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</row>
    <row r="384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/>
    </row>
    <row r="385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  <c r="AA385" s="133"/>
    </row>
    <row r="386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</row>
    <row r="387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</row>
    <row r="388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  <c r="AA388" s="133"/>
    </row>
    <row r="389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  <c r="AA389" s="133"/>
    </row>
    <row r="390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</row>
    <row r="39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  <c r="AA391" s="133"/>
    </row>
    <row r="392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</row>
    <row r="393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  <c r="AA393" s="133"/>
    </row>
    <row r="394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  <c r="AA394" s="133"/>
    </row>
    <row r="395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  <c r="AA395" s="133"/>
    </row>
    <row r="396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</row>
    <row r="397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</row>
    <row r="398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</row>
    <row r="399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</row>
    <row r="400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  <c r="AA400" s="133"/>
    </row>
    <row r="40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  <c r="AA401" s="133"/>
    </row>
    <row r="402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</row>
    <row r="403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</row>
    <row r="404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</row>
    <row r="405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</row>
    <row r="406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</row>
    <row r="407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</row>
    <row r="408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</row>
    <row r="409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</row>
    <row r="410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</row>
    <row r="41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</row>
    <row r="412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</row>
    <row r="413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</row>
    <row r="414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</row>
    <row r="415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</row>
    <row r="416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</row>
    <row r="417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</row>
    <row r="418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</row>
    <row r="419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</row>
    <row r="420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</row>
    <row r="42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</row>
    <row r="422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</row>
    <row r="423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</row>
    <row r="424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</row>
    <row r="425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</row>
    <row r="426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</row>
    <row r="427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</row>
    <row r="428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</row>
    <row r="429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</row>
    <row r="430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</row>
    <row r="43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</row>
    <row r="432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  <c r="AA432" s="133"/>
    </row>
    <row r="433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  <c r="AA433" s="133"/>
    </row>
    <row r="434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</row>
    <row r="435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</row>
    <row r="436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</row>
    <row r="437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  <c r="AA437" s="133"/>
    </row>
    <row r="438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  <c r="AA438" s="133"/>
    </row>
    <row r="439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</row>
    <row r="440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</row>
    <row r="44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  <c r="AA441" s="133"/>
    </row>
    <row r="442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  <c r="AA442" s="133"/>
    </row>
    <row r="443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</row>
    <row r="444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</row>
    <row r="445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  <c r="AA445" s="133"/>
    </row>
    <row r="446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</row>
    <row r="447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</row>
    <row r="448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</row>
    <row r="449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</row>
    <row r="450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  <c r="AA450" s="133"/>
    </row>
    <row r="45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</row>
    <row r="452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</row>
    <row r="453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  <c r="AA453" s="133"/>
    </row>
    <row r="454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  <c r="AA454" s="133"/>
    </row>
    <row r="455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  <c r="AA455" s="133"/>
    </row>
    <row r="456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  <c r="AA456" s="133"/>
    </row>
    <row r="457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/>
    </row>
    <row r="458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  <c r="AA458" s="133"/>
    </row>
    <row r="459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  <c r="AA459" s="133"/>
    </row>
    <row r="460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  <c r="AA460" s="133"/>
    </row>
    <row r="46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  <c r="AA461" s="133"/>
    </row>
    <row r="462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  <c r="AA462" s="133"/>
    </row>
    <row r="463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  <c r="AA463" s="133"/>
    </row>
    <row r="464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  <c r="AA464" s="133"/>
    </row>
    <row r="465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  <c r="AA465" s="133"/>
    </row>
    <row r="466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  <c r="AA466" s="133"/>
    </row>
    <row r="467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  <c r="AA467" s="133"/>
    </row>
    <row r="468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  <c r="AA468" s="133"/>
    </row>
    <row r="469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</row>
    <row r="470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  <c r="AA470" s="133"/>
    </row>
    <row r="47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  <c r="AA471" s="133"/>
    </row>
    <row r="472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</row>
    <row r="473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  <c r="AA473" s="133"/>
    </row>
    <row r="474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</row>
    <row r="475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  <c r="AA475" s="133"/>
    </row>
    <row r="476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</row>
    <row r="477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  <c r="AA477" s="133"/>
    </row>
    <row r="478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</row>
    <row r="479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</row>
    <row r="480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</row>
    <row r="48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</row>
    <row r="482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  <c r="AA482" s="133"/>
    </row>
    <row r="483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  <c r="AA483" s="133"/>
    </row>
    <row r="484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  <c r="AA484" s="133"/>
    </row>
    <row r="485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  <c r="AA485" s="133"/>
    </row>
    <row r="486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  <c r="AA486" s="133"/>
    </row>
    <row r="487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</row>
    <row r="488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  <c r="AA488" s="133"/>
    </row>
    <row r="489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  <c r="AA489" s="133"/>
    </row>
    <row r="490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</row>
    <row r="49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</row>
    <row r="492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</row>
    <row r="493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  <c r="AA493" s="133"/>
    </row>
    <row r="494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</row>
    <row r="495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  <c r="AA495" s="133"/>
    </row>
    <row r="496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  <c r="AA496" s="133"/>
    </row>
    <row r="497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  <c r="AA497" s="133"/>
    </row>
    <row r="498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  <c r="AA498" s="133"/>
    </row>
    <row r="499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  <c r="AA499" s="133"/>
    </row>
    <row r="500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  <c r="AA500" s="133"/>
    </row>
    <row r="50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  <c r="AA501" s="133"/>
    </row>
    <row r="502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  <c r="AA502" s="133"/>
    </row>
    <row r="503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  <c r="AA503" s="133"/>
    </row>
    <row r="504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  <c r="AA504" s="133"/>
    </row>
    <row r="505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  <c r="AA505" s="133"/>
    </row>
    <row r="506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  <c r="AA506" s="133"/>
    </row>
    <row r="507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  <c r="AA507" s="133"/>
    </row>
    <row r="508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  <c r="AA508" s="133"/>
    </row>
    <row r="509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  <c r="AA509" s="133"/>
    </row>
    <row r="510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  <c r="AA510" s="133"/>
    </row>
    <row r="51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  <c r="AA511" s="133"/>
    </row>
    <row r="512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/>
    </row>
    <row r="513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  <c r="AA513" s="133"/>
    </row>
    <row r="514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  <c r="AA514" s="133"/>
    </row>
    <row r="515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  <c r="AA515" s="133"/>
    </row>
    <row r="516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  <c r="AA516" s="133"/>
    </row>
    <row r="517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  <c r="AA517" s="133"/>
    </row>
    <row r="518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  <c r="AA518" s="133"/>
    </row>
    <row r="519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  <c r="AA519" s="133"/>
    </row>
    <row r="520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  <c r="AA520" s="133"/>
    </row>
    <row r="52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  <c r="AA521" s="133"/>
    </row>
    <row r="522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  <c r="AA522" s="133"/>
    </row>
    <row r="523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  <c r="AA523" s="133"/>
    </row>
    <row r="524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  <c r="AA524" s="133"/>
    </row>
    <row r="525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  <c r="AA525" s="133"/>
    </row>
    <row r="526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  <c r="AA526" s="133"/>
    </row>
    <row r="527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  <c r="AA527" s="133"/>
    </row>
    <row r="528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  <c r="AA528" s="133"/>
    </row>
    <row r="529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</row>
    <row r="530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  <c r="AA530" s="133"/>
    </row>
    <row r="53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  <c r="AA531" s="133"/>
    </row>
    <row r="532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  <c r="AA532" s="133"/>
    </row>
    <row r="533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  <c r="AA533" s="133"/>
    </row>
    <row r="534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  <c r="AA534" s="133"/>
    </row>
    <row r="535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  <c r="AA535" s="133"/>
    </row>
    <row r="536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  <c r="AA536" s="133"/>
    </row>
    <row r="537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  <c r="AA537" s="133"/>
    </row>
    <row r="538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  <c r="AA538" s="133"/>
    </row>
    <row r="539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  <c r="AA539" s="133"/>
    </row>
    <row r="540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  <c r="AA540" s="133"/>
    </row>
    <row r="54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  <c r="AA541" s="133"/>
    </row>
    <row r="542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  <c r="AA542" s="133"/>
    </row>
    <row r="543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  <c r="AA543" s="133"/>
    </row>
    <row r="544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  <c r="AA544" s="133"/>
    </row>
    <row r="545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  <c r="AA545" s="133"/>
    </row>
    <row r="546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  <c r="AA546" s="133"/>
    </row>
    <row r="547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</row>
    <row r="548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  <c r="AA548" s="133"/>
    </row>
    <row r="549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</row>
    <row r="550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  <c r="AA550" s="133"/>
    </row>
    <row r="55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  <c r="AA551" s="133"/>
    </row>
    <row r="552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</row>
    <row r="553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  <c r="AA553" s="133"/>
    </row>
    <row r="554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  <c r="AA554" s="133"/>
    </row>
    <row r="555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  <c r="AA555" s="133"/>
    </row>
    <row r="556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  <c r="AA556" s="133"/>
    </row>
    <row r="557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</row>
    <row r="558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  <c r="AA558" s="133"/>
    </row>
    <row r="559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  <c r="AA559" s="133"/>
    </row>
    <row r="560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  <c r="AA560" s="133"/>
    </row>
    <row r="56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  <c r="AA561" s="133"/>
    </row>
    <row r="562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  <c r="AA562" s="133"/>
    </row>
    <row r="563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  <c r="AA563" s="133"/>
    </row>
    <row r="564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  <c r="AA564" s="133"/>
    </row>
    <row r="565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  <c r="AA565" s="133"/>
    </row>
    <row r="566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  <c r="AA566" s="133"/>
    </row>
    <row r="567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  <c r="AA567" s="133"/>
    </row>
    <row r="568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  <c r="AA568" s="133"/>
    </row>
    <row r="569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  <c r="AA569" s="133"/>
    </row>
    <row r="570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  <c r="AA570" s="133"/>
    </row>
    <row r="57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  <c r="AA571" s="133"/>
    </row>
    <row r="572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  <c r="AA572" s="133"/>
    </row>
    <row r="573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  <c r="AA573" s="133"/>
    </row>
    <row r="574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  <c r="AA574" s="133"/>
    </row>
    <row r="575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  <c r="AA575" s="133"/>
    </row>
    <row r="576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  <c r="AA576" s="133"/>
    </row>
    <row r="577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  <c r="AA577" s="133"/>
    </row>
    <row r="578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  <c r="AA578" s="133"/>
    </row>
    <row r="579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  <c r="AA579" s="133"/>
    </row>
    <row r="580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  <c r="AA580" s="133"/>
    </row>
    <row r="58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  <c r="AA581" s="133"/>
    </row>
    <row r="582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</row>
    <row r="583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  <c r="AA583" s="133"/>
    </row>
    <row r="584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</row>
    <row r="585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  <c r="AA585" s="133"/>
    </row>
    <row r="586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  <c r="AA586" s="133"/>
    </row>
    <row r="587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  <c r="AA587" s="133"/>
    </row>
    <row r="588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  <c r="AA588" s="133"/>
    </row>
    <row r="589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  <c r="AA589" s="133"/>
    </row>
    <row r="590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  <c r="AA590" s="133"/>
    </row>
    <row r="59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  <c r="AA591" s="133"/>
    </row>
    <row r="592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  <c r="AA592" s="133"/>
    </row>
    <row r="593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  <c r="AA593" s="133"/>
    </row>
    <row r="594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  <c r="AA594" s="133"/>
    </row>
    <row r="595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  <c r="AA595" s="133"/>
    </row>
    <row r="596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  <c r="AA596" s="133"/>
    </row>
    <row r="597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  <c r="AA597" s="133"/>
    </row>
    <row r="598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  <c r="AA598" s="133"/>
    </row>
    <row r="599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  <c r="AA599" s="133"/>
    </row>
    <row r="600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  <c r="AA600" s="133"/>
    </row>
    <row r="60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  <c r="AA601" s="133"/>
    </row>
    <row r="602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</row>
    <row r="603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  <c r="AA603" s="133"/>
    </row>
    <row r="604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  <c r="AA604" s="133"/>
    </row>
    <row r="605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  <c r="AA605" s="133"/>
    </row>
    <row r="606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</row>
    <row r="607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</row>
    <row r="608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  <c r="AA608" s="133"/>
    </row>
    <row r="609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  <c r="AA609" s="133"/>
    </row>
    <row r="610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  <c r="AA610" s="133"/>
    </row>
    <row r="61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  <c r="AA611" s="133"/>
    </row>
    <row r="612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</row>
    <row r="613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  <c r="AA613" s="133"/>
    </row>
    <row r="614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  <c r="AA614" s="133"/>
    </row>
    <row r="615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  <c r="AA615" s="133"/>
    </row>
    <row r="616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  <c r="AA616" s="133"/>
    </row>
    <row r="617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  <c r="AA617" s="133"/>
    </row>
    <row r="618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  <c r="AA618" s="133"/>
    </row>
    <row r="619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  <c r="AA619" s="133"/>
    </row>
    <row r="620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  <c r="AA620" s="133"/>
    </row>
    <row r="62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  <c r="AA621" s="133"/>
    </row>
    <row r="622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  <c r="AA622" s="133"/>
    </row>
    <row r="623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  <c r="AA623" s="133"/>
    </row>
    <row r="624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  <c r="AA624" s="133"/>
    </row>
    <row r="625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  <c r="AA625" s="133"/>
    </row>
    <row r="626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  <c r="AA626" s="133"/>
    </row>
    <row r="627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  <c r="AA627" s="133"/>
    </row>
    <row r="628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  <c r="AA628" s="133"/>
    </row>
    <row r="629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  <c r="AA629" s="133"/>
    </row>
    <row r="630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  <c r="AA630" s="133"/>
    </row>
    <row r="63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  <c r="AA631" s="133"/>
    </row>
    <row r="632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  <c r="AA632" s="133"/>
    </row>
    <row r="633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  <c r="AA633" s="133"/>
    </row>
    <row r="634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  <c r="AA634" s="133"/>
    </row>
    <row r="635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</row>
    <row r="636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  <c r="AA636" s="133"/>
    </row>
    <row r="637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</row>
    <row r="638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  <c r="AA638" s="133"/>
    </row>
    <row r="639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  <c r="AA639" s="133"/>
    </row>
    <row r="640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  <c r="AA640" s="133"/>
    </row>
    <row r="64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</row>
    <row r="642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  <c r="AA642" s="133"/>
    </row>
    <row r="643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  <c r="AA643" s="133"/>
    </row>
    <row r="644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  <c r="AA644" s="133"/>
    </row>
    <row r="645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  <c r="AA645" s="133"/>
    </row>
    <row r="646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</row>
    <row r="647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  <c r="AA647" s="133"/>
    </row>
    <row r="648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  <c r="AA648" s="133"/>
    </row>
    <row r="649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  <c r="AA649" s="133"/>
    </row>
    <row r="650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  <c r="AA650" s="133"/>
    </row>
    <row r="65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  <c r="AA651" s="133"/>
    </row>
    <row r="652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  <c r="AA652" s="133"/>
    </row>
    <row r="653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  <c r="AA653" s="133"/>
    </row>
    <row r="654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  <c r="AA654" s="133"/>
    </row>
    <row r="655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</row>
    <row r="656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  <c r="AA656" s="133"/>
    </row>
    <row r="657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  <c r="AA657" s="133"/>
    </row>
    <row r="658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</row>
    <row r="659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  <c r="AA659" s="133"/>
    </row>
    <row r="660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  <c r="AA660" s="133"/>
    </row>
    <row r="66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  <c r="AA661" s="133"/>
    </row>
    <row r="662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  <c r="AA662" s="133"/>
    </row>
    <row r="663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  <c r="AA663" s="133"/>
    </row>
    <row r="664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  <c r="AA664" s="133"/>
    </row>
    <row r="665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  <c r="AA665" s="133"/>
    </row>
    <row r="666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  <c r="AA666" s="133"/>
    </row>
    <row r="667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  <c r="AA667" s="133"/>
    </row>
    <row r="668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  <c r="AA668" s="133"/>
    </row>
    <row r="669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  <c r="AA669" s="133"/>
    </row>
    <row r="670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  <c r="AA670" s="133"/>
    </row>
    <row r="67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  <c r="AA671" s="133"/>
    </row>
    <row r="672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  <c r="AA672" s="133"/>
    </row>
    <row r="673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  <c r="AA673" s="133"/>
    </row>
    <row r="674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  <c r="AA674" s="133"/>
    </row>
    <row r="675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  <c r="AA675" s="133"/>
    </row>
    <row r="676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  <c r="AA676" s="133"/>
    </row>
    <row r="677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  <c r="AA677" s="133"/>
    </row>
    <row r="678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  <c r="AA678" s="133"/>
    </row>
    <row r="679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  <c r="AA679" s="133"/>
    </row>
    <row r="680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  <c r="AA680" s="133"/>
    </row>
    <row r="68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</row>
    <row r="682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</row>
    <row r="683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  <c r="AA683" s="133"/>
    </row>
    <row r="684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  <c r="AA684" s="133"/>
    </row>
    <row r="685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  <c r="AA685" s="133"/>
    </row>
    <row r="686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</row>
    <row r="687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</row>
    <row r="688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</row>
    <row r="689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  <c r="AA689" s="133"/>
    </row>
    <row r="690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  <c r="AA690" s="133"/>
    </row>
    <row r="69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  <c r="AA691" s="133"/>
    </row>
    <row r="692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  <c r="AA692" s="133"/>
    </row>
    <row r="693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  <c r="AA693" s="133"/>
    </row>
    <row r="694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  <c r="AA694" s="133"/>
    </row>
    <row r="695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  <c r="AA695" s="133"/>
    </row>
    <row r="696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  <c r="AA696" s="133"/>
    </row>
    <row r="697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  <c r="AA697" s="133"/>
    </row>
    <row r="698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</row>
    <row r="699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</row>
    <row r="700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</row>
    <row r="70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  <c r="AA701" s="133"/>
    </row>
    <row r="702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  <c r="AA702" s="133"/>
    </row>
    <row r="703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  <c r="AA703" s="133"/>
    </row>
    <row r="704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  <c r="AA704" s="133"/>
    </row>
    <row r="705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  <c r="AA705" s="133"/>
    </row>
    <row r="706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</row>
    <row r="707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  <c r="AA707" s="133"/>
    </row>
    <row r="708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  <c r="AA708" s="133"/>
    </row>
    <row r="709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  <c r="AA709" s="133"/>
    </row>
    <row r="710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  <c r="AA710" s="133"/>
    </row>
    <row r="71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  <c r="AA711" s="133"/>
    </row>
    <row r="712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  <c r="AA712" s="133"/>
    </row>
    <row r="713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  <c r="AA713" s="133"/>
    </row>
    <row r="714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  <c r="AA714" s="133"/>
    </row>
    <row r="715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  <c r="AA715" s="133"/>
    </row>
    <row r="716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  <c r="AA716" s="133"/>
    </row>
    <row r="717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  <c r="AA717" s="133"/>
    </row>
    <row r="718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  <c r="AA718" s="133"/>
    </row>
    <row r="719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  <c r="AA719" s="133"/>
    </row>
    <row r="720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  <c r="AA720" s="133"/>
    </row>
    <row r="72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/>
    </row>
    <row r="722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  <c r="AA722" s="133"/>
    </row>
    <row r="723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  <c r="AA723" s="133"/>
    </row>
    <row r="724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  <c r="AA724" s="133"/>
    </row>
    <row r="725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  <c r="AA725" s="133"/>
    </row>
    <row r="726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  <c r="AA726" s="133"/>
    </row>
    <row r="727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  <c r="AA727" s="133"/>
    </row>
    <row r="728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  <c r="AA728" s="133"/>
    </row>
    <row r="729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  <c r="AA729" s="133"/>
    </row>
    <row r="730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</row>
    <row r="73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  <c r="AA731" s="133"/>
    </row>
    <row r="732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  <c r="AA732" s="133"/>
    </row>
    <row r="733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  <c r="AA733" s="133"/>
    </row>
    <row r="734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  <c r="AA734" s="133"/>
    </row>
    <row r="735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  <c r="AA735" s="133"/>
    </row>
    <row r="736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  <c r="AA736" s="133"/>
    </row>
    <row r="737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  <c r="AA737" s="133"/>
    </row>
    <row r="738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</row>
    <row r="739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  <c r="AA739" s="133"/>
    </row>
    <row r="740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  <c r="AA740" s="133"/>
    </row>
    <row r="74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  <c r="AA741" s="133"/>
    </row>
    <row r="742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  <c r="AA742" s="133"/>
    </row>
    <row r="743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  <c r="AA743" s="133"/>
    </row>
    <row r="744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  <c r="AA744" s="133"/>
    </row>
    <row r="745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  <c r="AA745" s="133"/>
    </row>
    <row r="746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  <c r="AA746" s="133"/>
    </row>
    <row r="747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  <c r="AA747" s="133"/>
    </row>
    <row r="748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  <c r="AA748" s="133"/>
    </row>
    <row r="749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  <c r="AA749" s="133"/>
    </row>
    <row r="750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  <c r="AA750" s="133"/>
    </row>
    <row r="75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  <c r="AA751" s="133"/>
    </row>
    <row r="752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  <c r="AA752" s="133"/>
    </row>
    <row r="753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  <c r="AA753" s="133"/>
    </row>
    <row r="754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  <c r="AA754" s="133"/>
    </row>
    <row r="755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  <c r="AA755" s="133"/>
    </row>
    <row r="756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  <c r="AA756" s="133"/>
    </row>
    <row r="757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  <c r="AA757" s="133"/>
    </row>
    <row r="758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/>
    </row>
    <row r="759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  <c r="AA759" s="133"/>
    </row>
    <row r="760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  <c r="AA760" s="133"/>
    </row>
    <row r="76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</row>
    <row r="762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  <c r="AA762" s="133"/>
    </row>
    <row r="763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  <c r="AA763" s="133"/>
    </row>
    <row r="764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  <c r="AA764" s="133"/>
    </row>
    <row r="765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/>
    </row>
    <row r="766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  <c r="AA766" s="133"/>
    </row>
    <row r="767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  <c r="AA767" s="133"/>
    </row>
    <row r="768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  <c r="AA768" s="133"/>
    </row>
    <row r="769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  <c r="AA769" s="133"/>
    </row>
    <row r="770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  <c r="AA770" s="133"/>
    </row>
    <row r="77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  <c r="AA771" s="133"/>
    </row>
    <row r="772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</row>
    <row r="773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  <c r="AA773" s="133"/>
    </row>
    <row r="774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  <c r="AA774" s="133"/>
    </row>
    <row r="775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  <c r="AA775" s="133"/>
    </row>
    <row r="776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  <c r="AA776" s="133"/>
    </row>
    <row r="777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  <c r="AA777" s="133"/>
    </row>
    <row r="778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  <c r="AA778" s="133"/>
    </row>
    <row r="779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  <c r="AA779" s="133"/>
    </row>
    <row r="780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  <c r="AA780" s="133"/>
    </row>
    <row r="78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</row>
    <row r="782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  <c r="AA782" s="133"/>
    </row>
    <row r="783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  <c r="AA783" s="133"/>
    </row>
    <row r="784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</row>
    <row r="785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</row>
    <row r="786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</row>
    <row r="787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</row>
    <row r="788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</row>
    <row r="789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</row>
    <row r="790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</row>
    <row r="79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</row>
    <row r="792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</row>
    <row r="793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</row>
    <row r="794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</row>
    <row r="795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</row>
    <row r="796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</row>
    <row r="797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  <c r="AA797" s="133"/>
    </row>
    <row r="798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  <c r="AA798" s="133"/>
    </row>
    <row r="799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</row>
    <row r="800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</row>
    <row r="80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</row>
    <row r="802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</row>
    <row r="803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</row>
    <row r="804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</row>
    <row r="805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  <c r="AA805" s="133"/>
    </row>
    <row r="806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  <c r="AA806" s="133"/>
    </row>
    <row r="807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</row>
    <row r="808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</row>
    <row r="809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</row>
    <row r="810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</row>
    <row r="81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</row>
    <row r="812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</row>
    <row r="813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</row>
    <row r="814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</row>
    <row r="815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</row>
    <row r="816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</row>
    <row r="817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</row>
    <row r="818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</row>
    <row r="819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</row>
    <row r="820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</row>
    <row r="82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</row>
    <row r="822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</row>
    <row r="823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</row>
    <row r="824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  <c r="AA824" s="133"/>
    </row>
    <row r="825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  <c r="AA825" s="133"/>
    </row>
    <row r="826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  <c r="AA826" s="133"/>
    </row>
    <row r="827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  <c r="AA827" s="133"/>
    </row>
    <row r="828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  <c r="AA828" s="133"/>
    </row>
    <row r="829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  <c r="AA829" s="133"/>
    </row>
    <row r="830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  <c r="AA830" s="133"/>
    </row>
    <row r="83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  <c r="AA831" s="133"/>
    </row>
    <row r="832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  <c r="AA832" s="133"/>
    </row>
    <row r="833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  <c r="AA833" s="133"/>
    </row>
    <row r="834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</row>
    <row r="835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  <c r="AA835" s="133"/>
    </row>
    <row r="836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  <c r="AA836" s="133"/>
    </row>
    <row r="837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</row>
    <row r="838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</row>
    <row r="839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</row>
    <row r="840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</row>
    <row r="84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</row>
    <row r="842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</row>
    <row r="843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</row>
    <row r="844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  <c r="AA844" s="133"/>
    </row>
    <row r="845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  <c r="AA845" s="133"/>
    </row>
    <row r="846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</row>
    <row r="847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</row>
    <row r="848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  <c r="AA848" s="133"/>
    </row>
    <row r="849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  <c r="AA849" s="133"/>
    </row>
    <row r="850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  <c r="AA850" s="133"/>
    </row>
    <row r="85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  <c r="AA851" s="133"/>
    </row>
    <row r="852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  <c r="AA852" s="133"/>
    </row>
    <row r="853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  <c r="AA853" s="133"/>
    </row>
    <row r="854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  <c r="AA854" s="133"/>
    </row>
    <row r="855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  <c r="AA855" s="133"/>
    </row>
    <row r="856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  <c r="AA856" s="133"/>
    </row>
    <row r="857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  <c r="AA857" s="133"/>
    </row>
    <row r="858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  <c r="AA858" s="133"/>
    </row>
    <row r="859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  <c r="AA859" s="133"/>
    </row>
    <row r="860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</row>
    <row r="86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</row>
    <row r="862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</row>
    <row r="863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</row>
    <row r="864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  <c r="AA864" s="133"/>
    </row>
    <row r="865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  <c r="AA865" s="133"/>
    </row>
    <row r="866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</row>
    <row r="867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</row>
    <row r="868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</row>
    <row r="869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</row>
    <row r="870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  <c r="AA870" s="133"/>
    </row>
    <row r="87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  <c r="AA871" s="133"/>
    </row>
    <row r="872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</row>
    <row r="873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  <c r="AA873" s="133"/>
    </row>
    <row r="874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  <c r="AA874" s="133"/>
    </row>
    <row r="875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</row>
    <row r="876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</row>
    <row r="877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  <c r="AA877" s="133"/>
    </row>
    <row r="878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  <c r="AA878" s="133"/>
    </row>
    <row r="879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</row>
    <row r="880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</row>
    <row r="88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</row>
    <row r="882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  <c r="AA882" s="133"/>
    </row>
    <row r="883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  <c r="AA883" s="133"/>
    </row>
    <row r="884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</row>
    <row r="885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</row>
    <row r="886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  <c r="AA886" s="133"/>
    </row>
    <row r="887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  <c r="AA887" s="133"/>
    </row>
    <row r="888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</row>
    <row r="889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  <c r="AA889" s="133"/>
    </row>
    <row r="890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  <c r="AA890" s="133"/>
    </row>
    <row r="89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  <c r="AA891" s="133"/>
    </row>
    <row r="892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  <c r="AA892" s="133"/>
    </row>
    <row r="893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  <c r="AA893" s="133"/>
    </row>
    <row r="894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  <c r="AA894" s="133"/>
    </row>
    <row r="895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  <c r="AA895" s="133"/>
    </row>
    <row r="896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  <c r="AA896" s="133"/>
    </row>
    <row r="897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  <c r="AA897" s="133"/>
    </row>
    <row r="898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  <c r="AA898" s="133"/>
    </row>
    <row r="899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  <c r="AA899" s="133"/>
    </row>
    <row r="900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  <c r="AA900" s="133"/>
    </row>
    <row r="90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  <c r="AA901" s="133"/>
    </row>
    <row r="902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  <c r="AA902" s="133"/>
    </row>
    <row r="903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  <c r="AA903" s="133"/>
    </row>
    <row r="904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  <c r="AA904" s="133"/>
    </row>
    <row r="905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  <c r="AA905" s="133"/>
    </row>
    <row r="906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  <c r="AA906" s="133"/>
    </row>
    <row r="907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  <c r="AA907" s="133"/>
    </row>
    <row r="908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  <c r="AA908" s="133"/>
    </row>
    <row r="909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  <c r="AA909" s="133"/>
    </row>
    <row r="910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</row>
    <row r="91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</row>
    <row r="912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  <c r="AA912" s="133"/>
    </row>
    <row r="913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  <c r="AA913" s="133"/>
    </row>
    <row r="914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  <c r="AA914" s="133"/>
    </row>
    <row r="915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  <c r="AA915" s="133"/>
    </row>
    <row r="916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  <c r="AA916" s="133"/>
    </row>
    <row r="917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  <c r="AA917" s="133"/>
    </row>
    <row r="918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  <c r="AA918" s="133"/>
    </row>
    <row r="919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  <c r="AA919" s="133"/>
    </row>
    <row r="920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  <c r="AA920" s="133"/>
    </row>
    <row r="92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  <c r="AA921" s="133"/>
    </row>
    <row r="922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  <c r="AA922" s="133"/>
    </row>
    <row r="923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  <c r="AA923" s="133"/>
    </row>
    <row r="924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  <c r="AA924" s="133"/>
    </row>
    <row r="925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  <c r="AA925" s="133"/>
    </row>
    <row r="926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  <c r="AA926" s="133"/>
    </row>
    <row r="927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  <c r="AA927" s="133"/>
    </row>
    <row r="928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  <c r="AA928" s="133"/>
    </row>
    <row r="929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  <c r="AA929" s="133"/>
    </row>
    <row r="930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  <c r="AA930" s="133"/>
    </row>
    <row r="93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  <c r="AA931" s="133"/>
    </row>
    <row r="932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</row>
    <row r="933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</row>
    <row r="934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</row>
    <row r="935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</row>
    <row r="936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</row>
    <row r="937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</row>
    <row r="938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  <c r="AA938" s="133"/>
    </row>
    <row r="939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  <c r="AA939" s="133"/>
    </row>
    <row r="940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  <c r="AA940" s="133"/>
    </row>
    <row r="94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  <c r="AA941" s="133"/>
    </row>
    <row r="942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  <c r="AA942" s="133"/>
    </row>
    <row r="943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  <c r="AA943" s="133"/>
    </row>
    <row r="944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  <c r="AA944" s="133"/>
    </row>
    <row r="945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  <c r="AA945" s="133"/>
    </row>
    <row r="946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  <c r="AA946" s="133"/>
    </row>
    <row r="947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  <c r="AA947" s="133"/>
    </row>
    <row r="948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  <c r="AA948" s="133"/>
    </row>
    <row r="949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  <c r="AA949" s="133"/>
    </row>
    <row r="950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  <c r="AA950" s="133"/>
    </row>
    <row r="95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  <c r="AA951" s="133"/>
    </row>
    <row r="952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  <c r="AA952" s="133"/>
    </row>
    <row r="953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  <c r="AA953" s="133"/>
    </row>
    <row r="954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  <c r="AA954" s="133"/>
    </row>
    <row r="955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  <c r="AA955" s="133"/>
    </row>
    <row r="956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  <c r="AA956" s="133"/>
    </row>
    <row r="957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  <c r="AA957" s="133"/>
    </row>
    <row r="958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  <c r="AA958" s="133"/>
    </row>
    <row r="959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  <c r="AA959" s="133"/>
    </row>
    <row r="960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  <c r="AA960" s="133"/>
    </row>
    <row r="96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  <c r="AA961" s="133"/>
    </row>
    <row r="962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  <c r="AA962" s="133"/>
    </row>
    <row r="963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  <c r="AA963" s="133"/>
    </row>
    <row r="964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  <c r="AA964" s="133"/>
    </row>
    <row r="965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  <c r="AA965" s="133"/>
    </row>
    <row r="966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  <c r="AA966" s="133"/>
    </row>
    <row r="967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  <c r="AA967" s="133"/>
    </row>
    <row r="968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  <c r="AA968" s="133"/>
    </row>
    <row r="969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  <c r="AA969" s="133"/>
    </row>
    <row r="970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  <c r="AA970" s="133"/>
    </row>
    <row r="97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  <c r="AA971" s="133"/>
    </row>
    <row r="972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  <c r="AA972" s="133"/>
    </row>
    <row r="973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  <c r="AA973" s="133"/>
    </row>
    <row r="974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  <c r="AA974" s="133"/>
    </row>
    <row r="975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  <c r="AA975" s="133"/>
    </row>
    <row r="976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  <c r="AA976" s="133"/>
    </row>
    <row r="977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  <c r="AA977" s="133"/>
    </row>
    <row r="978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  <c r="AA978" s="133"/>
    </row>
    <row r="979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  <c r="AA979" s="133"/>
    </row>
    <row r="980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  <c r="AA980" s="133"/>
    </row>
    <row r="98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  <c r="AA981" s="133"/>
    </row>
    <row r="982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  <c r="AA982" s="133"/>
    </row>
    <row r="983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  <c r="AA983" s="133"/>
    </row>
    <row r="984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  <c r="AA984" s="133"/>
    </row>
    <row r="985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  <c r="AA985" s="133"/>
    </row>
    <row r="986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  <c r="AA986" s="133"/>
    </row>
    <row r="987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  <c r="AA987" s="133"/>
    </row>
    <row r="988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  <c r="AA988" s="133"/>
    </row>
    <row r="989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  <c r="AA989" s="133"/>
    </row>
    <row r="990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  <c r="AA990" s="133"/>
    </row>
    <row r="99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  <c r="AA991" s="133"/>
    </row>
    <row r="992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  <c r="AA992" s="133"/>
    </row>
    <row r="993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  <c r="AA993" s="133"/>
    </row>
    <row r="994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  <c r="AA994" s="133"/>
    </row>
    <row r="995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  <c r="AA995" s="133"/>
    </row>
    <row r="996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  <c r="AA996" s="133"/>
    </row>
    <row r="997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  <c r="AA997" s="133"/>
    </row>
  </sheetData>
  <mergeCells count="3">
    <mergeCell ref="F3:F4"/>
    <mergeCell ref="G3:G4"/>
    <mergeCell ref="C5:C6"/>
  </mergeCells>
  <dataValidations>
    <dataValidation type="list" allowBlank="1" showErrorMessage="1" sqref="B2:B166">
      <formula1>"Дизайн,Фронтенд,Бекенд,Смарт контракты,Тестирование"</formula1>
    </dataValidation>
  </dataValidations>
  <drawing r:id="rId1"/>
</worksheet>
</file>