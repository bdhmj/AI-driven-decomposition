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смета" sheetId="1" r:id="rId5"/>
    <sheet state="visible" name="Анализ" sheetId="2" r:id="rId6"/>
    <sheet state="visible" name="Дизайн" sheetId="3" r:id="rId7"/>
    <sheet state="visible" name="Фронтенд" sheetId="4" r:id="rId8"/>
    <sheet state="visible" name="Бэкенд" sheetId="5" r:id="rId9"/>
    <sheet state="visible" name="Смарт контракты" sheetId="6" r:id="rId10"/>
    <sheet state="visible" name="DevOps" sheetId="7" r:id="rId11"/>
    <sheet state="visible" name="QA" sheetId="8" r:id="rId12"/>
    <sheet state="visible" name="Менеджмент" sheetId="9" r:id="rId13"/>
    <sheet state="visible" name="#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tc={93658f8b-6deb-4e4d-b157-7bf03393a6f2}</author>
  </authors>
  <commentList>
    <comment authorId="0" xr:uid="{93658f8b-6deb-4e4d-b157-7bf03393a6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не входит в границы проекта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tc={35427040-f513-4416-a9bf-d771cb10ff43}</author>
  </authors>
  <commentList>
    <comment authorId="0" xr:uid="{35427040-f513-4416-a9bf-d771cb10ff43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не входит в границы проекта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tc={59833cd2-171f-4069-ad2e-c181db634d77}</author>
  </authors>
  <commentList>
    <comment authorId="0" xr:uid="{59833cd2-171f-4069-ad2e-c181db634d77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правило, включают, хотя в первоначальных требованиях не было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tc={99f64b80-5701-4a1f-808d-a217a0b23d15}</author>
  </authors>
  <commentList>
    <comment authorId="0" xr:uid="{99f64b80-5701-4a1f-808d-a217a0b23d15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не входит в границы проекта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tc={54500cda-f4bb-4f6e-a211-fd8bbc7dab10}</author>
  </authors>
  <commentList>
    <comment authorId="0" xr:uid="{54500cda-f4bb-4f6e-a211-fd8bbc7dab1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случае комиссиий при обычной торговле криптовалютой
</t>
      </text>
    </comment>
  </commentList>
</comments>
</file>

<file path=xl/sharedStrings.xml><?xml version="1.0" encoding="utf-8"?>
<sst xmlns="http://schemas.openxmlformats.org/spreadsheetml/2006/main" count="394" uniqueCount="211">
  <si>
    <t>ПРЕДВАРИТЕЛЬНАЯ ОЦЕНКА ТРУДОЗАТРАТ НА АГРЕГАТОР DEX В ТЕЛЕГРАМЕ</t>
  </si>
  <si>
    <t>ФАЗИРОВАНИЕ</t>
  </si>
  <si>
    <t>DISCOVERY</t>
  </si>
  <si>
    <t>DEVELOPMENT</t>
  </si>
  <si>
    <t>DELIVERY</t>
  </si>
  <si>
    <t>#</t>
  </si>
  <si>
    <t>Команда *</t>
  </si>
  <si>
    <t>Раз.</t>
  </si>
  <si>
    <t>О. Часы</t>
  </si>
  <si>
    <t>П. Часы</t>
  </si>
  <si>
    <t>О. Цена</t>
  </si>
  <si>
    <t>П. Цена</t>
  </si>
  <si>
    <t>1</t>
  </si>
  <si>
    <t>Анализ</t>
  </si>
  <si>
    <t>2</t>
  </si>
  <si>
    <t>Дизайн</t>
  </si>
  <si>
    <t>3</t>
  </si>
  <si>
    <t>Фронтенд-разработка</t>
  </si>
  <si>
    <t>4</t>
  </si>
  <si>
    <t>Бэкенд-разработка</t>
  </si>
  <si>
    <t>5</t>
  </si>
  <si>
    <t>Смарт-контракты</t>
  </si>
  <si>
    <t>6</t>
  </si>
  <si>
    <t xml:space="preserve">DevOps </t>
  </si>
  <si>
    <t>7</t>
  </si>
  <si>
    <t>Контроль качества (QA)</t>
  </si>
  <si>
    <t>8</t>
  </si>
  <si>
    <t>Менеджмент</t>
  </si>
  <si>
    <t>СТОИМОСТЬ РАБОТ</t>
  </si>
  <si>
    <t>СРОКИ</t>
  </si>
  <si>
    <t>Н</t>
  </si>
  <si>
    <t>12</t>
  </si>
  <si>
    <t>Оценка действительна в течение 30 дней (до 01-05-2025).</t>
  </si>
  <si>
    <t>ПРИБЛ. СРОК:</t>
  </si>
  <si>
    <t>НЕДЕЛЬ</t>
  </si>
  <si>
    <t>ПРИБЛ. ЦЕНА:</t>
  </si>
  <si>
    <t>-</t>
  </si>
  <si>
    <t>СПИСОК ЗАДАЧ</t>
  </si>
  <si>
    <t>Рейт ($/Ч)</t>
  </si>
  <si>
    <t>Фаза</t>
  </si>
  <si>
    <t>1.1</t>
  </si>
  <si>
    <r>
      <rPr>
        <rFont val="Montserrat, sans-serif"/>
        <b/>
        <color rgb="FF000000"/>
      </rPr>
      <t xml:space="preserve">Сбор требований
</t>
    </r>
    <r>
      <rPr>
        <rFont val="Montserrat, sans-serif"/>
        <b val="0"/>
        <color rgb="FF000000"/>
      </rPr>
      <t>- Определение требований в соответствии с Borders &amp; Scope
- Анализ и ранжирование требований
- Переговоры о требованиях со стейкхолдерами продукта
- Составление чек-листа по задачам и списка функционала будущего продукта</t>
    </r>
  </si>
  <si>
    <t>1.2</t>
  </si>
  <si>
    <r>
      <rPr>
        <rFont val="Montserrat, sans-serif"/>
        <b/>
        <color rgb="FF000000"/>
      </rPr>
      <t xml:space="preserve">Составление функциональных диаграмм и разработка Пользовательских сценариев
</t>
    </r>
    <r>
      <rPr>
        <rFont val="Montserrat, sans-serif"/>
        <b val="0"/>
        <color rgb="FF000000"/>
      </rPr>
      <t>- Перенос требований в диаграммы
- Подготовка позитивных и негативных сценариев
- Разработка Пользовательских сценариев и вариантов использования</t>
    </r>
  </si>
  <si>
    <t>1.3</t>
  </si>
  <si>
    <r>
      <rPr>
        <rFont val="Montserrat"/>
        <b/>
        <color theme="1"/>
      </rPr>
      <t xml:space="preserve">Разработка требований к программному обеспечению (SRS)
</t>
    </r>
    <r>
      <rPr>
        <rFont val="Montserrat"/>
        <b val="0"/>
        <color theme="1"/>
      </rPr>
      <t>- Описание бизнес-логики
- Справочное исследование
- Подготовка описания страниц/экранов</t>
    </r>
  </si>
  <si>
    <t>1.4</t>
  </si>
  <si>
    <r>
      <rPr>
        <rFont val="Montserrat"/>
        <b/>
        <color theme="1"/>
      </rPr>
      <t xml:space="preserve">Поддержка команды разработки по продуктовым вопросам
</t>
    </r>
    <r>
      <rPr>
        <rFont val="Montserrat"/>
        <b val="0"/>
        <color theme="1"/>
      </rPr>
      <t>- Консультирование команды в процессе разработки
- Анализ и ранжирование новых требований и соответствующие переоценки трудозатрат</t>
    </r>
  </si>
  <si>
    <t>DEV &amp; DEL</t>
  </si>
  <si>
    <t>1.5</t>
  </si>
  <si>
    <r>
      <rPr>
        <rFont val="Montserrat, Arial"/>
        <b/>
        <color theme="1"/>
      </rPr>
      <t xml:space="preserve">Работа с документами
</t>
    </r>
    <r>
      <rPr>
        <rFont val="Montserrat, Arial"/>
        <b val="0"/>
        <color theme="1"/>
      </rPr>
      <t>- Проверка качества документации
- Ручное тестирование соответствия документа
- Проверка полноты выполнения
- Проверка соответствия целям проекта
- Работа над постоянным улучшением документации и исправление ошибок</t>
    </r>
  </si>
  <si>
    <t>SPREAD</t>
  </si>
  <si>
    <t>2.1</t>
  </si>
  <si>
    <r>
      <rPr>
        <rFont val="Montserrat"/>
        <b/>
        <color theme="1"/>
      </rPr>
      <t xml:space="preserve">Исследование референсных решений
</t>
    </r>
    <r>
      <rPr>
        <rFont val="Montserrat"/>
        <b val="0"/>
        <color theme="1"/>
      </rPr>
      <t>- Анализ конкурентных решений
- Создание мудбордов</t>
    </r>
  </si>
  <si>
    <t>2.2</t>
  </si>
  <si>
    <t>ОБЩИЕ СТРАНИЦЫ</t>
  </si>
  <si>
    <t>2.2.1</t>
  </si>
  <si>
    <r>
      <rPr>
        <rFont val="Montserrat"/>
        <b/>
        <color theme="1"/>
      </rPr>
      <t xml:space="preserve">Домашняя страница. Дизайн макета.
</t>
    </r>
    <r>
      <rPr>
        <rFont val="Montserrat"/>
        <b val="0"/>
        <color theme="1"/>
      </rPr>
      <t>- Общая и регуляторная информация
- Меню
- Помощь и FAQ 
- Переход к подключению web3-кошелька</t>
    </r>
  </si>
  <si>
    <t>DIS &amp; DEV</t>
  </si>
  <si>
    <t>2.2.2</t>
  </si>
  <si>
    <r>
      <rPr>
        <rFont val="Montserrat"/>
        <b/>
        <color theme="1"/>
      </rPr>
      <t>Страница с антибот-верификацией. Дизайн макета</t>
    </r>
    <r>
      <rPr>
        <rFont val="Montserrat"/>
        <b val="0"/>
        <color theme="1"/>
      </rPr>
      <t xml:space="preserve">
- Интерфейс защиты от ботов</t>
    </r>
  </si>
  <si>
    <t>2.3</t>
  </si>
  <si>
    <t>ПЛАТФОРМА</t>
  </si>
  <si>
    <t>2.3.1</t>
  </si>
  <si>
    <r>
      <rPr>
        <rFont val="Montserrat"/>
        <b/>
        <color theme="1"/>
      </rPr>
      <t>Профиль пользователя. Дизайн макета</t>
    </r>
    <r>
      <rPr>
        <rFont val="Montserrat"/>
        <b val="0"/>
        <color theme="1"/>
      </rPr>
      <t xml:space="preserve">
- Настройка личного кабинета и персональной информации</t>
    </r>
  </si>
  <si>
    <t>2.3.2</t>
  </si>
  <si>
    <r>
      <rPr>
        <rFont val="Montserrat"/>
        <b/>
        <color theme="1"/>
      </rPr>
      <t xml:space="preserve">Страница подключения Web3-кошелька. Дизайн макета
</t>
    </r>
    <r>
      <rPr>
        <rFont val="Montserrat"/>
        <color theme="1"/>
      </rPr>
      <t>- Согласие с условиями
- Выбор кошелька
- Переход на сторонние ресурсы</t>
    </r>
  </si>
  <si>
    <t>2.3.3</t>
  </si>
  <si>
    <r>
      <rPr>
        <rFont val="Montserrat"/>
        <b/>
        <color theme="1"/>
      </rPr>
      <t xml:space="preserve">Страница трейдинга. Дизайн макета
</t>
    </r>
    <r>
      <rPr>
        <rFont val="Montserrat"/>
        <b val="0"/>
        <color theme="1"/>
      </rPr>
      <t>- Выбор сетей (TON, SOL)</t>
    </r>
    <r>
      <rPr>
        <rFont val="Montserrat"/>
        <b/>
        <color theme="1"/>
      </rPr>
      <t xml:space="preserve">
</t>
    </r>
    <r>
      <rPr>
        <rFont val="Montserrat"/>
        <b val="0"/>
        <color theme="1"/>
      </rPr>
      <t>- Отображение кошельков платформы
- Выбор ордера (3 вида - рыночный ордер, лимитный ордер, стоп-ордер)
- Таблица продаж/покупок (транзакции, ордера, мои активы, топ-200 держателей выбранного токена)
- Информация по торговой паре</t>
    </r>
    <r>
      <rPr>
        <rFont val="Montserrat"/>
        <b/>
        <color theme="1"/>
      </rPr>
      <t xml:space="preserve">
</t>
    </r>
    <r>
      <rPr>
        <rFont val="Montserrat"/>
        <b val="0"/>
        <color theme="1"/>
      </rPr>
      <t>- Блок покупки/продажи ордеров</t>
    </r>
  </si>
  <si>
    <t>2.3.4</t>
  </si>
  <si>
    <r>
      <rPr>
        <rFont val="Montserrat"/>
        <b/>
        <color theme="1"/>
      </rPr>
      <t xml:space="preserve">Модальное окно вывода средств. Дизайн макета
</t>
    </r>
    <r>
      <rPr>
        <rFont val="Montserrat"/>
        <b val="0"/>
        <color theme="1"/>
      </rPr>
      <t>- Выбор кошелька, валюты
- Ввод адреса кошелька
- Согласие с включением газа в сумму перевода</t>
    </r>
  </si>
  <si>
    <t>2.3.5</t>
  </si>
  <si>
    <r>
      <rPr>
        <rFont val="Montserrat"/>
        <b/>
        <color theme="1"/>
      </rPr>
      <t xml:space="preserve">Модальное окно пополнения средств. Дизайн макета
</t>
    </r>
    <r>
      <rPr>
        <rFont val="Montserrat"/>
        <b val="0"/>
        <color theme="1"/>
      </rPr>
      <t>- Выбор кошелька
- QR-код</t>
    </r>
  </si>
  <si>
    <t>2.3.6</t>
  </si>
  <si>
    <r>
      <rPr>
        <rFont val="Montserrat"/>
        <b/>
        <color theme="1"/>
      </rPr>
      <t xml:space="preserve">Страница "Мои кошельки"
</t>
    </r>
    <r>
      <rPr>
        <rFont val="Montserrat"/>
        <b val="0"/>
        <color theme="1"/>
      </rPr>
      <t>- Таблица кошельков
- Переход к выбору кошельков
- Переход к настройке пресета кошельков
- Таблица активов в кошельке
- Переход к импорту, генерации изменения имени кошелька</t>
    </r>
  </si>
  <si>
    <t>2.3.7</t>
  </si>
  <si>
    <r>
      <rPr>
        <rFont val="Montserrat"/>
        <b/>
        <color theme="1"/>
      </rPr>
      <t xml:space="preserve">Страница транзакций
</t>
    </r>
    <r>
      <rPr>
        <rFont val="Montserrat"/>
        <b val="0"/>
        <color theme="1"/>
      </rPr>
      <t>- Выбор типа транзакций
- Фильтры для выбранного типа транзакций
- Таблица транзакций для выбранного типа</t>
    </r>
  </si>
  <si>
    <t>2.3.8</t>
  </si>
  <si>
    <r>
      <rPr>
        <rFont val="Montserrat"/>
        <b/>
        <color theme="1"/>
      </rPr>
      <t xml:space="preserve">Страница реферальной программы
</t>
    </r>
    <r>
      <rPr>
        <rFont val="Montserrat"/>
        <b val="0"/>
        <color theme="1"/>
      </rPr>
      <t>- Отображение статуса и текущего оборота
- Список приглашенных Пользователей
- Отображение ссылки для приглашения</t>
    </r>
  </si>
  <si>
    <t>2.4</t>
  </si>
  <si>
    <t>ПАНЕЛЬ АДМИНИСТРАТОРА</t>
  </si>
  <si>
    <t>2.4.1</t>
  </si>
  <si>
    <r>
      <rPr>
        <rFont val="Montserrat"/>
        <b/>
        <color theme="1"/>
      </rPr>
      <t>Аутентификация администратора. Дизайн макета</t>
    </r>
    <r>
      <rPr>
        <rFont val="Montserrat"/>
        <b val="0"/>
        <color theme="1"/>
      </rPr>
      <t xml:space="preserve">
- Возможность входа на платформу для администраторов</t>
    </r>
  </si>
  <si>
    <t>2.4.2</t>
  </si>
  <si>
    <r>
      <rPr>
        <rFont val="Montserrat"/>
        <b/>
        <color theme="1"/>
      </rPr>
      <t xml:space="preserve">Управление администраторами. Дизайн макета
</t>
    </r>
    <r>
      <rPr>
        <rFont val="Montserrat"/>
        <b val="0"/>
        <color theme="1"/>
      </rPr>
      <t>- Список администраторов.
- Интерфейс добавления нового администратора.
- Просмотр логов действий администраторов.
- Блокировка/разблокировка администратора.</t>
    </r>
  </si>
  <si>
    <t>2.4.3</t>
  </si>
  <si>
    <r>
      <rPr>
        <rFont val="Montserrat"/>
        <b/>
        <color theme="1"/>
      </rPr>
      <t xml:space="preserve">Управление пользователями. Дизайн макета
</t>
    </r>
    <r>
      <rPr>
        <rFont val="Montserrat"/>
        <b val="0"/>
        <color theme="1"/>
      </rPr>
      <t>- Список пользователей
- Общая информация об активности пользователей
- Блокировка/разблокировка пользователей
- Блокировка/разблокировка различных действий для пользователей</t>
    </r>
  </si>
  <si>
    <t>2.4.4</t>
  </si>
  <si>
    <r>
      <rPr>
        <rFont val="Montserrat"/>
        <b/>
        <color theme="1"/>
      </rPr>
      <t xml:space="preserve">Управление платформой. Дизайн макета
</t>
    </r>
    <r>
      <rPr>
        <rFont val="Montserrat"/>
        <b val="0"/>
        <color theme="1"/>
      </rPr>
      <t>- Настройка комиссий
- Управление пополнением/выводом средств</t>
    </r>
  </si>
  <si>
    <t>2.4.5</t>
  </si>
  <si>
    <r>
      <rPr>
        <rFont val="Montserrat"/>
        <b/>
        <color theme="1"/>
      </rPr>
      <t xml:space="preserve">Управление криптовалютным шлюзом. Дизайн макета
</t>
    </r>
    <r>
      <rPr>
        <rFont val="Montserrat"/>
        <b val="0"/>
        <color theme="1"/>
      </rPr>
      <t>- Управление транзакциями (мониторинг, подтверждение)
- Создание и кастомизация кошельков</t>
    </r>
  </si>
  <si>
    <t>2.5</t>
  </si>
  <si>
    <r>
      <rPr>
        <rFont val="Montserrat"/>
        <b/>
        <color theme="1"/>
      </rPr>
      <t xml:space="preserve">Разработка дизайн-системы
</t>
    </r>
    <r>
      <rPr>
        <rFont val="Montserrat"/>
        <b val="0"/>
        <color theme="1"/>
      </rPr>
      <t>- Разработка UI-кита
- Подготовка цветовой палитры
- Подбор и настройка шрифтов</t>
    </r>
  </si>
  <si>
    <t>2.6</t>
  </si>
  <si>
    <r>
      <rPr>
        <rFont val="Montserrat"/>
        <b/>
        <color theme="1"/>
      </rPr>
      <t xml:space="preserve">Адаптивный дизайн
</t>
    </r>
    <r>
      <rPr>
        <rFont val="Montserrat"/>
        <b val="0"/>
        <color theme="1"/>
      </rPr>
      <t>- Настройки для различных разрешений горизонтальных экранов
- Регулировки для различных разрешений вертикальных экранов
- Разработка принципа переходов</t>
    </r>
  </si>
  <si>
    <t>2.7</t>
  </si>
  <si>
    <r>
      <rPr>
        <rFont val="Montserrat, sans-serif"/>
        <b/>
        <color rgb="FF000000"/>
      </rPr>
      <t xml:space="preserve">Ревью дизайна
</t>
    </r>
    <r>
      <rPr>
        <rFont val="Montserrat, sans-serif"/>
        <b val="0"/>
        <color rgb="FF000000"/>
      </rPr>
      <t>- Ревью мудбордов
- Ревью UI-кита
- Изучение дизайна на наличие ошибок и несоответствий UX-стандартам</t>
    </r>
  </si>
  <si>
    <t>3.1</t>
  </si>
  <si>
    <r>
      <rPr>
        <rFont val="Montserrat, sans-serif"/>
        <b/>
        <color rgb="FF000000"/>
      </rPr>
      <t xml:space="preserve">Первичная консультация команды
</t>
    </r>
    <r>
      <rPr>
        <rFont val="Montserrat, sans-serif"/>
        <b val="0"/>
        <color rgb="FF000000"/>
      </rPr>
      <t>- Консультации команды дизайна
- Обзор начальных спецификаций по проекту</t>
    </r>
  </si>
  <si>
    <t>3.2</t>
  </si>
  <si>
    <r>
      <rPr>
        <rFont val="Montserrat, sans-serif"/>
        <b/>
        <color rgb="FF000000"/>
      </rPr>
      <t xml:space="preserve">Инициализация проекта
</t>
    </r>
    <r>
      <rPr>
        <rFont val="Montserrat, sans-serif"/>
        <b val="0"/>
        <color rgb="FF000000"/>
      </rPr>
      <t>- Выбор наиболее подходящих библиотек и фреймворков
- Инициализация директории проекта</t>
    </r>
  </si>
  <si>
    <t>3.3</t>
  </si>
  <si>
    <r>
      <rPr>
        <rFont val="Montserrat, sans-serif"/>
        <b/>
        <color rgb="FF000000"/>
      </rPr>
      <t xml:space="preserve">Разработка базовых компонентов 
</t>
    </r>
    <r>
      <rPr>
        <rFont val="Montserrat, sans-serif"/>
        <b val="0"/>
        <color rgb="FF000000"/>
      </rPr>
      <t>- Разработка компонентов на основе дизайна Figma
- Базовые компоненты включают кнопки, входы, дропдауны и другие многоразовые компоненты будущего приложения.
- Инициализация хедера и футера</t>
    </r>
  </si>
  <si>
    <t>3.4</t>
  </si>
  <si>
    <r>
      <rPr>
        <rFont val="Montserrat"/>
        <b/>
        <color theme="1"/>
      </rPr>
      <t xml:space="preserve">Разработка модальных окон, алертов и нотификаций
</t>
    </r>
    <r>
      <rPr>
        <rFont val="Montserrat"/>
        <b val="0"/>
        <color theme="1"/>
      </rPr>
      <t xml:space="preserve">- Шаблоны кода модальных окон и разработка базового функционала.
- Шаблоны кода алертов и разработка базового функционала.
- Шаблоны кода уведомлений и разработка базового функционала. </t>
    </r>
    <r>
      <rPr>
        <rFont val="Montserrat"/>
        <b/>
        <color theme="1"/>
      </rPr>
      <t xml:space="preserve">       </t>
    </r>
  </si>
  <si>
    <t>3.5</t>
  </si>
  <si>
    <r>
      <rPr>
        <rFont val="Montserrat, sans-serif"/>
        <b/>
        <color rgb="FF000000"/>
      </rPr>
      <t xml:space="preserve">Адаптивный дизайн
</t>
    </r>
    <r>
      <rPr>
        <rFont val="Montserrat, sans-serif"/>
        <b val="0"/>
        <color rgb="FF000000"/>
      </rPr>
      <t>- Поддержка горизонтальных разрешений на основе Figma
 (1025px+ для персонального компьютера)
- Поддержка вертикальных разрешений на основе Figma
 (от 320px до 767px для мобильных устройств и от 768px до 1024px планшетов)</t>
    </r>
  </si>
  <si>
    <t>3.6</t>
  </si>
  <si>
    <r>
      <rPr>
        <rFont val="Montserrat"/>
        <b/>
        <color theme="1"/>
      </rPr>
      <t xml:space="preserve">Разработка архитектуры интеграций
</t>
    </r>
    <r>
      <rPr>
        <rFont val="Montserrat"/>
        <b val="0"/>
        <color theme="1"/>
      </rPr>
      <t>- Обзор документации API.
- Обзор функциональности смарт-контрактов.
- Проверка параметров WebSocket.
- Настройки axios / других инструментов.</t>
    </r>
  </si>
  <si>
    <t>3.7</t>
  </si>
  <si>
    <t>3.7.1</t>
  </si>
  <si>
    <r>
      <rPr>
        <rFont val="Montserrat"/>
        <b/>
        <color theme="1"/>
      </rPr>
      <t xml:space="preserve">Домашняя страница. Верстка и интеграция.
</t>
    </r>
    <r>
      <rPr>
        <rFont val="Montserrat"/>
        <b val="0"/>
        <color theme="1"/>
      </rPr>
      <t>- Общая и регуляторная информация
- Меню
- Помощь и FAQ 
- Переход к подключению web3-кошелька</t>
    </r>
  </si>
  <si>
    <t>3.7.2</t>
  </si>
  <si>
    <r>
      <rPr>
        <rFont val="Montserrat"/>
        <b/>
        <color theme="1"/>
      </rPr>
      <t>Страница с антибот-верификацией. Верстка и интеграция.</t>
    </r>
    <r>
      <rPr>
        <rFont val="Montserrat"/>
        <b val="0"/>
        <color theme="1"/>
      </rPr>
      <t xml:space="preserve">
- Интерфейс защиты от ботов</t>
    </r>
  </si>
  <si>
    <t>3.8</t>
  </si>
  <si>
    <t>3.8.1</t>
  </si>
  <si>
    <r>
      <rPr>
        <rFont val="Montserrat"/>
        <b/>
        <color theme="1"/>
      </rPr>
      <t>Профиль пользователя. Верстка и интеграция.</t>
    </r>
    <r>
      <rPr>
        <rFont val="Montserrat"/>
        <b val="0"/>
        <color theme="1"/>
      </rPr>
      <t xml:space="preserve">
- Настройка личного кабинета и персональной информации</t>
    </r>
  </si>
  <si>
    <t>3.8.2</t>
  </si>
  <si>
    <r>
      <rPr>
        <rFont val="Montserrat"/>
        <b/>
        <color theme="1"/>
      </rPr>
      <t>Страница подключения Web3-кошелька</t>
    </r>
    <r>
      <rPr>
        <rFont val="Montserrat"/>
        <color theme="1"/>
      </rPr>
      <t xml:space="preserve">
- Форма подключения web3 кошелька
- Переход к подключению web3 кошелька
- Переход к авторизации</t>
    </r>
  </si>
  <si>
    <t>3.8.3</t>
  </si>
  <si>
    <r>
      <rPr>
        <rFont val="Montserrat"/>
        <b/>
        <color theme="1"/>
      </rPr>
      <t xml:space="preserve">Страница трейдинга. Верстка и интеграция.
</t>
    </r>
    <r>
      <rPr>
        <rFont val="Montserrat"/>
        <b val="0"/>
        <color theme="1"/>
      </rPr>
      <t>- Выбор сетей (TON, SOL)</t>
    </r>
    <r>
      <rPr>
        <rFont val="Montserrat"/>
        <b/>
        <color theme="1"/>
      </rPr>
      <t xml:space="preserve">
</t>
    </r>
    <r>
      <rPr>
        <rFont val="Montserrat"/>
        <b val="0"/>
        <color theme="1"/>
      </rPr>
      <t>- Отображение кошельков платформы
- Выбор ордера (3 вида - рыночный ордер, лимитный ордер, стоп-ордер)
- Таблица продаж/покупок (транзакции, ордера, мои активы, топ-200 держателей выбранного токена)
- Информация по торговой паре
- Блок покупки/продажи ордеров</t>
    </r>
  </si>
  <si>
    <t>3.8.4</t>
  </si>
  <si>
    <r>
      <rPr>
        <rFont val="Montserrat"/>
        <b/>
        <color theme="1"/>
      </rPr>
      <t xml:space="preserve">Модальное окно вывода средств. Верстка и интеграция.
</t>
    </r>
    <r>
      <rPr>
        <rFont val="Montserrat"/>
        <b val="0"/>
        <color theme="1"/>
      </rPr>
      <t>- Выбор кошелька, валюты
- Ввод адреса кошелька
- Согласие с включением газа в сумму перевода</t>
    </r>
  </si>
  <si>
    <t>3.8.5</t>
  </si>
  <si>
    <r>
      <rPr>
        <rFont val="Montserrat"/>
        <b/>
        <color theme="1"/>
      </rPr>
      <t xml:space="preserve">Модальное окно пополнения средств. Верстка и интеграция.
</t>
    </r>
    <r>
      <rPr>
        <rFont val="Montserrat"/>
        <b val="0"/>
        <color theme="1"/>
      </rPr>
      <t>- Выбор кошелька
- QR-код</t>
    </r>
  </si>
  <si>
    <t>3.8.6</t>
  </si>
  <si>
    <r>
      <rPr>
        <rFont val="Montserrat"/>
        <b/>
        <color theme="1"/>
      </rPr>
      <t xml:space="preserve">Страница "Мои кошельки", подключение библиотеки web3-кошельков. Верстка и интеграция
</t>
    </r>
    <r>
      <rPr>
        <rFont val="Montserrat"/>
        <b val="0"/>
        <color theme="1"/>
      </rPr>
      <t>- Таблица кошельков
- Переход к выбору кошельков
- Переход к настройке пресета кошельков
- Таблица активов в кошельке
- Переход к импорту, генерации изменения имени кошелька</t>
    </r>
  </si>
  <si>
    <t>3.8.7</t>
  </si>
  <si>
    <r>
      <rPr>
        <rFont val="Montserrat"/>
        <b/>
        <color theme="1"/>
      </rPr>
      <t xml:space="preserve">Страница транзакций
</t>
    </r>
    <r>
      <rPr>
        <rFont val="Montserrat"/>
        <b val="0"/>
        <color theme="1"/>
      </rPr>
      <t>- Выбор типа транзакций
- Фильтры для выбранного типа транзакций
- Таблица транзакций для выбранного типа</t>
    </r>
  </si>
  <si>
    <t>3.8.8</t>
  </si>
  <si>
    <r>
      <rPr>
        <rFont val="Montserrat"/>
        <b/>
        <color theme="1"/>
      </rPr>
      <t xml:space="preserve">Страница реферальной программы
</t>
    </r>
    <r>
      <rPr>
        <rFont val="Montserrat"/>
        <b val="0"/>
        <color theme="1"/>
      </rPr>
      <t>- Отображение статуса и текущего оборота
- Список приглашенных Пользователей
- Отображение ссылки для приглашения</t>
    </r>
  </si>
  <si>
    <t>3.9</t>
  </si>
  <si>
    <t>3.9.1</t>
  </si>
  <si>
    <r>
      <rPr>
        <rFont val="Montserrat"/>
        <b/>
        <color theme="1"/>
      </rPr>
      <t>Аутентификация администратора. Верстка и интеграция.</t>
    </r>
    <r>
      <rPr>
        <rFont val="Montserrat"/>
        <b val="0"/>
        <color theme="1"/>
      </rPr>
      <t xml:space="preserve">
- Возможность входа на платформу для администраторов</t>
    </r>
  </si>
  <si>
    <t>3.9.2</t>
  </si>
  <si>
    <r>
      <rPr>
        <rFont val="Montserrat"/>
        <b/>
        <color theme="1"/>
      </rPr>
      <t xml:space="preserve">Управление администраторами. Верстка и интеграция.
</t>
    </r>
    <r>
      <rPr>
        <rFont val="Montserrat"/>
        <b val="0"/>
        <color theme="1"/>
      </rPr>
      <t>- Список администраторов.
- Интерфейс добавления нового администратора.
- Просмотр логов действий администраторов.
- Блокировка/разблокировка администратора.</t>
    </r>
  </si>
  <si>
    <t>3.9.3</t>
  </si>
  <si>
    <r>
      <rPr>
        <rFont val="Montserrat"/>
        <b/>
        <color theme="1"/>
      </rPr>
      <t xml:space="preserve">Управление пользователями. Верстка и интеграция.
</t>
    </r>
    <r>
      <rPr>
        <rFont val="Montserrat"/>
        <b val="0"/>
        <color theme="1"/>
      </rPr>
      <t>- Список пользователей
- Общая информация об активности пользователей
- Блокировка/разблокировка пользователей
- Блокировка/разблокировка различных действий для пользователей</t>
    </r>
  </si>
  <si>
    <t>3.9.4</t>
  </si>
  <si>
    <r>
      <rPr>
        <rFont val="Montserrat"/>
        <b/>
        <color theme="1"/>
      </rPr>
      <t xml:space="preserve">Управление платформой. Верстка и интеграция.
</t>
    </r>
    <r>
      <rPr>
        <rFont val="Montserrat"/>
        <b val="0"/>
        <color theme="1"/>
      </rPr>
      <t>- Настройка комиссий
- Управление пополнением/выводом средств</t>
    </r>
  </si>
  <si>
    <t>3.9.5</t>
  </si>
  <si>
    <r>
      <rPr>
        <rFont val="Montserrat"/>
        <b/>
        <color theme="1"/>
      </rPr>
      <t xml:space="preserve">Управление криптовалютным шлюзом. Верстка и интеграция.
</t>
    </r>
    <r>
      <rPr>
        <rFont val="Montserrat"/>
        <b val="0"/>
        <color theme="1"/>
      </rPr>
      <t>- Управление транзакциями (мониторинг, подтверждение)
- Создание и кастомизация кошельков</t>
    </r>
  </si>
  <si>
    <t>3.10</t>
  </si>
  <si>
    <r>
      <rPr>
        <rFont val="Montserrat, sans-serif"/>
        <b/>
        <color rgb="FF000000"/>
      </rPr>
      <t xml:space="preserve">Интернационализация/локализация
</t>
    </r>
    <r>
      <rPr>
        <rFont val="Montserrat, sans-serif"/>
        <b val="0"/>
        <color rgb="FF000000"/>
      </rPr>
      <t>- Поддержка английского/русского языков</t>
    </r>
  </si>
  <si>
    <t>3.11</t>
  </si>
  <si>
    <r>
      <rPr>
        <rFont val="Montserrat, sans-serif"/>
        <b/>
        <color rgb="FF000000"/>
      </rPr>
      <t xml:space="preserve">Консультация технического лида
</t>
    </r>
    <r>
      <rPr>
        <rFont val="Montserrat, sans-serif"/>
        <b val="0"/>
        <color rgb="FF000000"/>
      </rPr>
      <t>- Обзор логики в технической реализации
- Проверка кода на предмет чистоты кода.
- Просмотр текста коммитов согласно утвержденному формату
- Написание комментариев и отзывов по PR
- Консультирование команды по техническим вопросам.
- Звонки заказчику для уточнения требований и обсуждения технической реализации</t>
    </r>
  </si>
  <si>
    <t>4.1</t>
  </si>
  <si>
    <r>
      <rPr>
        <rFont val="Montserrat, sans-serif"/>
        <b/>
        <color rgb="FF000000"/>
      </rPr>
      <t xml:space="preserve">Дизайн архитектуры бэкенда
</t>
    </r>
    <r>
      <rPr>
        <rFont val="Montserrat, sans-serif"/>
        <b val="0"/>
        <color rgb="FF000000"/>
      </rPr>
      <t>- Разработка архитектурных схем приложений и сервисов.
- Разработка схем баз данных и связей между данными.
- Обзор способов интеграции со сторонними сервисами
- Выбор технологического стека и инструментов для реализации приложения
- Разработка схемы безопасного масштабирования системы.</t>
    </r>
  </si>
  <si>
    <t>4.2</t>
  </si>
  <si>
    <r>
      <rPr>
        <rFont val="Montserrat, sans-serif"/>
        <b/>
        <color rgb="FF000000"/>
      </rPr>
      <t xml:space="preserve">Разработка архитектуры бэкенда
</t>
    </r>
    <r>
      <rPr>
        <rFont val="Montserrat, sans-serif"/>
        <b val="0"/>
        <color rgb="FF000000"/>
      </rPr>
      <t>- Разработка структуры каталогов проекта.
- Настройка линтеров и конфигурационных файлов.
- Настройка конфигурации менеджера пакетов и реализация сторонних зависимостей.
- Настройка хуков коммитов</t>
    </r>
  </si>
  <si>
    <t>4.3</t>
  </si>
  <si>
    <r>
      <rPr>
        <rFont val="Montserrat"/>
        <b/>
        <color theme="1"/>
      </rPr>
      <t>Модуль Web3-авторизации</t>
    </r>
    <r>
      <rPr>
        <rFont val="Montserrat"/>
        <b val="0"/>
        <color theme="1"/>
      </rPr>
      <t xml:space="preserve">
- Импорт кошелька
- Выгрузка приватных ключей пользователя по кошельку
- Подпись через кошелек стандарта EIP-712(WEB3 Аутентификация пользователя)
- Управление сессиями
- Создание и управление аккаунтом пользователя
- Создание платежных паролей/пинкодов</t>
    </r>
  </si>
  <si>
    <t>4.4</t>
  </si>
  <si>
    <r>
      <rPr>
        <rFont val="Montserrat"/>
        <b/>
        <color theme="1"/>
      </rPr>
      <t xml:space="preserve">Модуль реферальной программы
</t>
    </r>
    <r>
      <rPr>
        <rFont val="Montserrat"/>
        <b val="0"/>
        <color theme="1"/>
      </rPr>
      <t>- Разработка логики ступенчато-обрезной стратегии для распределения награды за участие
- Проектирование логики обновления данных по распределению 
   награды и передачи информации смарт-контракту
- Расчет оборота всей/1-линии структуры
- Расчет уровня пользователя</t>
    </r>
  </si>
  <si>
    <t>4.5</t>
  </si>
  <si>
    <r>
      <rPr>
        <rFont val="Montserrat"/>
        <b/>
        <color theme="1"/>
      </rPr>
      <t xml:space="preserve">Модуль Jupiter/STON.fi
</t>
    </r>
    <r>
      <rPr>
        <rFont val="Montserrat"/>
        <b val="0"/>
        <color theme="1"/>
      </rPr>
      <t>- Интеграция со смарт-контрактами Jupiter/STON.fi (через прокси-контракты)
- Проектирование и разработка логики выявления новых листингов
   и передачи информации системе
- Парсинг транзакций смарт-контракта на вывод/пополнение ликвидности из пула
- Парсинг транзакций смарт-контракта на продажу токена платформы
- Получение списка токенов</t>
    </r>
  </si>
  <si>
    <t>4.6</t>
  </si>
  <si>
    <r>
      <rPr>
        <rFont val="Montserrat"/>
        <b/>
        <color theme="1"/>
      </rPr>
      <t xml:space="preserve">Модуль blockchain
</t>
    </r>
    <r>
      <rPr>
        <rFont val="Montserrat"/>
        <b val="0"/>
        <color theme="1"/>
      </rPr>
      <t>- Проектирование и разработка логики работы с mempool
- Разработка логики переподключения провайдера</t>
    </r>
  </si>
  <si>
    <t>4.7</t>
  </si>
  <si>
    <r>
      <rPr>
        <rFont val="Montserrat"/>
        <b/>
        <color theme="1"/>
      </rPr>
      <t xml:space="preserve">Модуль Anti Frontrun
</t>
    </r>
    <r>
      <rPr>
        <rFont val="Montserrat"/>
        <b val="0"/>
        <color theme="1"/>
      </rPr>
      <t>- Ресерч закрытых пулов
- Интеграция с закрытыми пулами</t>
    </r>
  </si>
  <si>
    <t>4.8</t>
  </si>
  <si>
    <r>
      <rPr>
        <rFont val="Montserrat"/>
        <b/>
        <color theme="1"/>
      </rPr>
      <t xml:space="preserve">Модуль Anti-Blacklist
</t>
    </r>
    <r>
      <rPr>
        <rFont val="Montserrat"/>
        <b val="0"/>
        <color theme="1"/>
      </rPr>
      <t>- Парсинг транзакций на добавление кошелька в черный список и перевод средств на резервный кошелек</t>
    </r>
  </si>
  <si>
    <t>4.9</t>
  </si>
  <si>
    <r>
      <rPr>
        <rFont val="Montserrat"/>
        <b/>
        <color theme="1"/>
      </rPr>
      <t xml:space="preserve">Модуль Tokens info сервис
</t>
    </r>
    <r>
      <rPr>
        <rFont val="Montserrat"/>
        <b val="0"/>
        <color theme="1"/>
      </rPr>
      <t>- Интеграция с сервисом CoinMarketCap/DexTools для получения информации о токене/паре</t>
    </r>
  </si>
  <si>
    <t>4.10</t>
  </si>
  <si>
    <r>
      <rPr>
        <rFont val="Montserrat"/>
        <b/>
        <color theme="1"/>
      </rPr>
      <t xml:space="preserve">Модуль Auto router
</t>
    </r>
    <r>
      <rPr>
        <rFont val="Montserrat"/>
        <b val="0"/>
        <color theme="1"/>
      </rPr>
      <t>- Логика нахождения путей покупки токенов</t>
    </r>
  </si>
  <si>
    <t>4.11</t>
  </si>
  <si>
    <r>
      <rPr>
        <rFont val="Montserrat"/>
        <b/>
        <color theme="1"/>
      </rPr>
      <t xml:space="preserve">Модуль Orders
</t>
    </r>
    <r>
      <rPr>
        <rFont val="Montserrat"/>
        <b val="0"/>
        <color theme="1"/>
      </rPr>
      <t>- Проектирование и разработка логики работы market/limit ордеров
- Страница транзакций
- Страница ордеров
- Страница My-holdings + обновление позиций
- Функция share позиции 
- Фильтрации, сортировки</t>
    </r>
  </si>
  <si>
    <t>4.12</t>
  </si>
  <si>
    <r>
      <rPr>
        <rFont val="Montserrat"/>
        <b/>
        <color theme="1"/>
      </rPr>
      <t xml:space="preserve">Модуль Notification
</t>
    </r>
    <r>
      <rPr>
        <rFont val="Montserrat"/>
        <b val="0"/>
        <color theme="1"/>
      </rPr>
      <t>- Разработка логики создание типов нотификации
- Разработка Server-sent-event(SSE) для отправки нотификаций
- Разработка логики управление нотификациями</t>
    </r>
  </si>
  <si>
    <t>4.13</t>
  </si>
  <si>
    <r>
      <rPr>
        <rFont val="Montserrat"/>
        <b/>
        <color theme="1"/>
      </rPr>
      <t xml:space="preserve">Интеграция с криптошлюзом
</t>
    </r>
    <r>
      <rPr>
        <rFont val="Montserrat"/>
        <b val="0"/>
        <color theme="1"/>
      </rPr>
      <t>- Получение баланса кастодиального кошелька
- Импорт/Экспорт приватного ключа кошелька
- Генерация кастодиального кошелька
- Вывод средств с кастодиального кошелька
- Апрув средств на указанный контракт</t>
    </r>
  </si>
  <si>
    <t>4.14</t>
  </si>
  <si>
    <r>
      <rPr>
        <rFont val="Montserrat"/>
        <b/>
        <color theme="1"/>
      </rPr>
      <t xml:space="preserve">Разработка криптошлюза
</t>
    </r>
    <r>
      <rPr>
        <rFont val="Montserrat"/>
        <b val="0"/>
        <color theme="1"/>
      </rPr>
      <t>- Разработка управления кастодиальными кошельками
- Разработка управление пополнениями и выводами средств
- Разработка сохранение истории транзакций
- Разработка управления балансом</t>
    </r>
  </si>
  <si>
    <t>4.15</t>
  </si>
  <si>
    <r>
      <rPr>
        <rFont val="Montserrat"/>
        <b/>
        <color theme="1"/>
      </rPr>
      <t>Сервис провайдера API</t>
    </r>
    <r>
      <rPr>
        <rFont val="Montserrat"/>
        <b val="0"/>
        <color theme="1"/>
      </rPr>
      <t xml:space="preserve">
- Проектирование и реализация конечных точек RESTful API
- Обеспечение эффективной обработки запросов и ответов на данные
- Внедрение безопасных протоколов передачи данных (HTTPS и т. д.)
- Разработка логики масштабирования для будущего расширения 
  функционала
- Разработка документации Swagger</t>
    </r>
  </si>
  <si>
    <t>4.16</t>
  </si>
  <si>
    <r>
      <rPr>
        <rFont val="Montserrat"/>
        <b/>
        <color theme="1"/>
      </rPr>
      <t xml:space="preserve">Smart contract integration
</t>
    </r>
    <r>
      <rPr>
        <rFont val="Montserrat"/>
        <b val="0"/>
        <color theme="1"/>
      </rPr>
      <t>- Разработка логики передачи и получения необходимой информации</t>
    </r>
  </si>
  <si>
    <t>4.17</t>
  </si>
  <si>
    <r>
      <rPr>
        <rFont val="Montserrat"/>
        <b/>
        <color theme="1"/>
      </rPr>
      <t xml:space="preserve">Модуль управления базой данных
</t>
    </r>
    <r>
      <rPr>
        <rFont val="Montserrat"/>
        <b val="0"/>
        <color theme="1"/>
      </rPr>
      <t>- Сценарии миграции обновлений и изменений баз данных
- Настройка процесса заполнения базы данных
- Служба управления данными для организации, поиска и изменения данных</t>
    </r>
  </si>
  <si>
    <t>4.18</t>
  </si>
  <si>
    <r>
      <rPr>
        <rFont val="Montserrat"/>
        <b/>
        <color theme="1"/>
      </rPr>
      <t xml:space="preserve">Модуль аналитики
</t>
    </r>
    <r>
      <rPr>
        <rFont val="Montserrat"/>
        <b val="0"/>
        <color theme="1"/>
      </rPr>
      <t xml:space="preserve">- Инициализация сервиса трейсинга Jaeger и подключение к api-gateway
- Организация логиирования и троссировки запросов
- Настройка сервисных уведомлений TG-bot(Безопасносить, изменения в системе, ошибки системы)
- Инициализация сервиса Grafana
</t>
    </r>
    <r>
      <rPr>
        <rFont val="Montserrat"/>
        <b/>
        <color theme="1"/>
      </rPr>
      <t>-</t>
    </r>
    <r>
      <rPr>
        <rFont val="Montserrat"/>
        <b val="0"/>
        <color theme="1"/>
      </rPr>
      <t xml:space="preserve"> Подключение Terminus(Health check) модуля для проверки работоспособности сервисов</t>
    </r>
  </si>
  <si>
    <t>4.19</t>
  </si>
  <si>
    <r>
      <rPr>
        <rFont val="Montserrat"/>
        <b/>
        <color theme="1"/>
      </rPr>
      <t xml:space="preserve">Тестирование
</t>
    </r>
    <r>
      <rPr>
        <rFont val="Montserrat"/>
        <b val="0"/>
        <color theme="1"/>
      </rPr>
      <t>- Разработка тестов интеграций
- Разработка Unit тестов
- Разработка E2E тестов</t>
    </r>
  </si>
  <si>
    <t>4.20</t>
  </si>
  <si>
    <r>
      <rPr>
        <rFont val="Montserrat, Arial"/>
        <b/>
        <color theme="1"/>
      </rPr>
      <t xml:space="preserve">Разработка документации
</t>
    </r>
    <r>
      <rPr>
        <rFont val="Montserrat, Arial"/>
        <b val="0"/>
        <color theme="1"/>
      </rPr>
      <t>- Комментирование кода.
- Разработка README-файла с инструкциями по настройке и запуску проекта, а также его архитектурой.
- Схемы архитектуры сервисов/баз данных</t>
    </r>
  </si>
  <si>
    <t>Смарт контракты</t>
  </si>
  <si>
    <r>
      <rPr>
        <rFont val="Montserrat, sans-serif"/>
        <b/>
        <color rgb="FF000000"/>
      </rPr>
      <t xml:space="preserve">Проектирование архитектуры смарт-контрактов
</t>
    </r>
    <r>
      <rPr>
        <rFont val="Montserrat, sans-serif"/>
        <b val="0"/>
        <color rgb="FF000000"/>
      </rPr>
      <t>- Обзор технических характеристик продукта
- Общий обзор проекта
- Определение основных переменных/функций/эвентов
- Идентификация рисков</t>
    </r>
  </si>
  <si>
    <r>
      <rPr>
        <rFont val="Montserrat"/>
        <b/>
      </rPr>
      <t xml:space="preserve">Router Smart Contract
</t>
    </r>
    <r>
      <rPr>
        <rFont val="Montserrat"/>
      </rPr>
      <t xml:space="preserve">- Разработка логики взимания комиссии с Пользователей
- Интеграция c </t>
    </r>
    <r>
      <rPr>
        <rFont val="Montserrat"/>
        <color rgb="FF1155CC"/>
        <u/>
      </rPr>
      <t>STON.fi</t>
    </r>
    <r>
      <rPr>
        <rFont val="Montserrat"/>
      </rPr>
      <t xml:space="preserve"> и Jupiter для проведения обменов</t>
    </r>
  </si>
  <si>
    <r>
      <rPr>
        <rFont val="Montserrat, sans-serif"/>
        <b/>
        <color rgb="FF000000"/>
      </rPr>
      <t xml:space="preserve">Тестирование
</t>
    </r>
    <r>
      <rPr>
        <rFont val="Montserrat, sans-serif"/>
        <b val="0"/>
        <color rgb="FF000000"/>
      </rPr>
      <t>- Реализация Юнит-тестов потенциально уязвимой логики
- Реализация e2e-тестирования для описания положительных и отрицательных случаев при работе с клиентом.
- Подготовка и описание сценариев тестирования кода.</t>
    </r>
  </si>
  <si>
    <r>
      <rPr>
        <rFont val="Montserrat, sans-serif"/>
        <b/>
        <color rgb="FF000000"/>
      </rPr>
      <t xml:space="preserve">Консультации Техлида
</t>
    </r>
    <r>
      <rPr>
        <rFont val="Montserrat, sans-serif"/>
        <b val="0"/>
        <color rgb="FF000000"/>
      </rPr>
      <t>- Обзор логики в технической реализации
- Проверьте код на предмет чистоты кода.
- Помощь в разработке микроархитектуры отдельной функции
- Консультирование команды по техническим вопросам.
- Звонки заказчику для уточнения требований и обсуждения технической реализации</t>
    </r>
  </si>
  <si>
    <r>
      <rPr>
        <rFont val="Montserrat"/>
        <b/>
        <color theme="1"/>
      </rPr>
      <t xml:space="preserve">Разработка документации
</t>
    </r>
    <r>
      <rPr>
        <rFont val="Montserrat"/>
        <b val="0"/>
        <color theme="1"/>
      </rPr>
      <t>- Комментирование кода
- Разработка README-файла</t>
    </r>
  </si>
  <si>
    <t>DevOps</t>
  </si>
  <si>
    <r>
      <rPr>
        <rFont val="Montserrat"/>
        <b/>
        <color theme="1"/>
      </rPr>
      <t xml:space="preserve">Настройка инфраструктуры
</t>
    </r>
    <r>
      <rPr>
        <rFont val="Montserrat"/>
        <b val="0"/>
        <color theme="1"/>
      </rPr>
      <t>- Настройка репозитория
- Настройка секретов репозитория
- Настройка инструментов/библиотек/фреймворков
- Настройки сети
- Настройка безопасности сервера
- Настройка резервного копирования баз данных</t>
    </r>
  </si>
  <si>
    <r>
      <rPr>
        <rFont val="Montserrat"/>
        <b/>
        <color theme="1"/>
      </rPr>
      <t xml:space="preserve">Мониторинг
</t>
    </r>
    <r>
      <rPr>
        <rFont val="Montserrat"/>
        <b val="0"/>
        <color theme="1"/>
      </rPr>
      <t>- Настройка систем мониторинга
- Конфигурация систем мониторинга
- Настройка бота уведомлений
- Настройка систем логгинга
- Трассировка логов</t>
    </r>
  </si>
  <si>
    <r>
      <rPr>
        <rFont val="Montserrat"/>
        <b/>
        <color theme="1"/>
      </rPr>
      <t xml:space="preserve">Настройка CI/CD
</t>
    </r>
    <r>
      <rPr>
        <rFont val="Montserrat"/>
        <b val="0"/>
        <color theme="1"/>
      </rPr>
      <t>- Инициализация инструментов CI/CD
- Разработка CI/CD-скриптов
- Инфраструктура сервисов CI/CD</t>
    </r>
  </si>
  <si>
    <t>Настройка узла блокчейна</t>
  </si>
  <si>
    <r>
      <rPr>
        <rFont val="Montserrat"/>
        <b/>
        <color theme="1"/>
      </rPr>
      <t xml:space="preserve">Разработка документации по развертыванию
</t>
    </r>
    <r>
      <rPr>
        <rFont val="Montserrat"/>
        <b val="0"/>
        <color theme="1"/>
      </rPr>
      <t>- Инфраструктурная документация
- Документация CI/CD
- Документация по мониторингу</t>
    </r>
  </si>
  <si>
    <r>
      <rPr>
        <rFont val="Montserrat"/>
        <b/>
        <color theme="1"/>
      </rPr>
      <t xml:space="preserve">Анализ требований и планирование тестирования
</t>
    </r>
    <r>
      <rPr>
        <rFont val="Montserrat"/>
        <b val="0"/>
        <color theme="1"/>
      </rPr>
      <t>- Статическое тестирование требований
- Обзор требований
- Обзор дорожной карты проекта
- Обзор проектной документации
- Разработка плана тестирования
- Распределение ресурсов</t>
    </r>
  </si>
  <si>
    <r>
      <rPr>
        <rFont val="Montserrat"/>
        <b/>
        <color theme="1"/>
      </rPr>
      <t xml:space="preserve">Дизайн тест-кейсов
</t>
    </r>
    <r>
      <rPr>
        <rFont val="Montserrat"/>
        <b val="0"/>
        <color theme="1"/>
      </rPr>
      <t>- Разработка детальных тестовых кейсов
- Тестовые сценарии высокого уровня</t>
    </r>
  </si>
  <si>
    <r>
      <rPr>
        <rFont val="Montserrat"/>
        <b/>
        <color theme="1"/>
      </rPr>
      <t xml:space="preserve">Менеджмент дефектов и отчетность
</t>
    </r>
    <r>
      <rPr>
        <rFont val="Montserrat"/>
        <b val="0"/>
        <color theme="1"/>
      </rPr>
      <t>- Локализация ошибок
- Описание ошибок
- Обновления статуса ошибок</t>
    </r>
  </si>
  <si>
    <r>
      <rPr>
        <rFont val="Montserrat, sans-serif"/>
        <b/>
        <color rgb="FF000000"/>
      </rPr>
      <t xml:space="preserve">Функциональное и нефункциональное тестирование
</t>
    </r>
    <r>
      <rPr>
        <rFont val="Montserrat, sans-serif"/>
        <b val="0"/>
        <color rgb="FF000000"/>
      </rPr>
      <t>- Тестирование API 
- UI-тестирование
- UX-тестирование
- Регресионное тестирование
- Приемочное, повторное и smoke-тестирование</t>
    </r>
  </si>
  <si>
    <r>
      <rPr>
        <rFont val="Montserrat, sans-serif"/>
        <b/>
        <color rgb="FF000000"/>
      </rPr>
      <t xml:space="preserve">Консультации по вопросам тестирования
</t>
    </r>
    <r>
      <rPr>
        <rFont val="Montserrat, sans-serif"/>
        <b val="0"/>
        <color rgb="FF000000"/>
      </rPr>
      <t>- Консультирование группы тестирования.
- Анализ тестовой документации и проведенных испытаний.
- Переоценка (при необходимости)</t>
    </r>
  </si>
  <si>
    <r>
      <rPr>
        <rFont val="Montserrat, sans-serif"/>
        <b/>
        <color rgb="FF000000"/>
      </rPr>
      <t xml:space="preserve">Планирование и проведение Kick-off:
</t>
    </r>
    <r>
      <rPr>
        <rFont val="Montserrat, sans-serif"/>
        <b val="0"/>
        <color rgb="FF000000"/>
      </rPr>
      <t>- Внутреннее планирование kick-off с командой;
- Планирование рабочего процесса на первом этапе;
- kick-off встреча с клиентом.</t>
    </r>
  </si>
  <si>
    <r>
      <rPr>
        <rFont val="Montserrat, sans-serif"/>
        <b/>
        <color rgb="FF000000"/>
      </rPr>
      <t xml:space="preserve">Корректировка задач, распределение и контроль:
</t>
    </r>
    <r>
      <rPr>
        <rFont val="Montserrat, sans-serif"/>
        <b val="0"/>
        <color rgb="FF000000"/>
      </rPr>
      <t>- Актуализация задач для команды;
- Назначение исполнителей;;
- Актуализация задач и ежедневный контроль.</t>
    </r>
  </si>
  <si>
    <r>
      <rPr>
        <rFont val="Montserrat, sans-serif"/>
        <b/>
        <color rgb="FF000000"/>
      </rPr>
      <t xml:space="preserve">Управление спринтом:
</t>
    </r>
    <r>
      <rPr>
        <rFont val="Montserrat, sans-serif"/>
        <b val="0"/>
        <color rgb="FF000000"/>
      </rPr>
      <t>- Планирование спринта;
- Ежедневные стендапы;
- Уход за отставанием;
- Демонстрация промежуточного результата (Демо);
- Ретроспектива.</t>
    </r>
  </si>
  <si>
    <r>
      <rPr>
        <rFont val="Montserrat, sans-serif"/>
        <b/>
        <color rgb="FF000000"/>
      </rPr>
      <t xml:space="preserve">Подготовка и обмен отчетами:
</t>
    </r>
    <r>
      <rPr>
        <rFont val="Montserrat, sans-serif"/>
        <b val="0"/>
        <color rgb="FF000000"/>
      </rPr>
      <t>- Формирование отчетов для клиентов;
- Передача отчета и обсуждение.</t>
    </r>
  </si>
  <si>
    <r>
      <rPr>
        <rFont val="Montserrat, sans-serif"/>
        <b/>
        <color rgb="FF000000"/>
      </rPr>
      <t xml:space="preserve">Общение с клиентом:
</t>
    </r>
    <r>
      <rPr>
        <rFont val="Montserrat, sans-serif"/>
        <b val="0"/>
        <color rgb="FF000000"/>
      </rPr>
      <t>- Сотрудничество с клиентом во время звонков для обмена обновлениями и обсуждения планов.
- Ежедневное общение с клиентами по электронной почте/чатам.</t>
    </r>
  </si>
  <si>
    <r>
      <rPr>
        <rFont val="Montserrat, sans-serif"/>
        <b/>
        <color rgb="FF000000"/>
      </rPr>
      <t xml:space="preserve">Завершение и передача проекта:
</t>
    </r>
    <r>
      <rPr>
        <rFont val="Montserrat, sans-serif"/>
        <b val="0"/>
        <color rgb="FF000000"/>
      </rPr>
      <t>- Подготовка документов к сдаче;
- предоставление результатов разработки;
- Контроль доступа к среде Prod;
- Закрытие юридических вопросов.</t>
    </r>
  </si>
  <si>
    <t>O. Часы</t>
  </si>
  <si>
    <t>O. Цена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</si>
</sst>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"/>
    <numFmt numFmtId="165" formatCode="$#,##0"/>
    <numFmt numFmtId="166" formatCode="[$$]#,##0.00"/>
    <numFmt numFmtId="167" formatCode="#,##0 ₽"/>
  </numFmts>
  <fonts count="28">
    <font>
      <sz val="10.0"/>
      <color rgb="FF000000"/>
      <name val="Arial"/>
      <scheme val="minor"/>
    </font>
    <font>
      <b/>
      <sz val="12.0"/>
      <color rgb="FFFFFFFF"/>
      <name val="Montserrat"/>
    </font>
    <font>
      <b/>
      <sz val="14.0"/>
      <color rgb="FFFFFFFF"/>
      <name val="Montserrat"/>
    </font>
    <font>
      <b/>
      <sz val="10.0"/>
      <color rgb="FF46BDC6"/>
      <name val="Montserrat"/>
    </font>
    <font>
      <b/>
      <sz val="8.0"/>
      <color theme="1"/>
      <name val="Montserrat"/>
    </font>
    <font>
      <b/>
      <sz val="6.0"/>
      <color theme="1"/>
      <name val="Montserrat"/>
    </font>
    <font>
      <b/>
      <sz val="10.0"/>
      <color theme="1"/>
      <name val="Montserrat"/>
    </font>
    <font>
      <b/>
      <u/>
      <sz val="10.0"/>
      <color rgb="FF286F74"/>
      <name val="Montserrat"/>
    </font>
    <font>
      <b/>
      <sz val="7.0"/>
      <color theme="1"/>
      <name val="Montserrat"/>
    </font>
    <font>
      <color theme="1"/>
      <name val="Montserrat"/>
    </font>
    <font>
      <b/>
      <sz val="10.0"/>
      <color theme="9"/>
      <name val="Montserrat"/>
    </font>
    <font>
      <b/>
      <color rgb="FF46BDC6"/>
      <name val="Montserrat"/>
    </font>
    <font>
      <b/>
      <sz val="10.0"/>
      <color rgb="FFFFFFFF"/>
      <name val="Montserrat"/>
    </font>
    <font>
      <b/>
      <sz val="8.0"/>
      <color rgb="FFFFFFFF"/>
      <name val="Montserrat"/>
    </font>
    <font>
      <b/>
      <color rgb="FFFFFFFF"/>
      <name val="Montserrat"/>
    </font>
    <font>
      <sz val="10.0"/>
      <color theme="1"/>
      <name val="Montserrat"/>
    </font>
    <font>
      <b/>
      <sz val="12.0"/>
      <color theme="1"/>
      <name val="Montserrat"/>
    </font>
    <font>
      <b/>
      <color theme="1"/>
      <name val="Montserrat"/>
    </font>
    <font>
      <b/>
      <color rgb="FF000000"/>
      <name val="Montserrat"/>
    </font>
    <font/>
    <font>
      <sz val="9.0"/>
      <color theme="1"/>
      <name val="Montserrat"/>
    </font>
    <font>
      <sz val="8.0"/>
      <color theme="1"/>
      <name val="Montserrat"/>
    </font>
    <font>
      <u/>
      <color rgb="FF0000FF"/>
      <name val="Montserrat"/>
    </font>
    <font>
      <b/>
      <sz val="14.0"/>
      <color rgb="FFE3E3E3"/>
      <name val="Montserrat"/>
    </font>
    <font>
      <sz val="18.0"/>
      <color rgb="FFEBEBEB"/>
      <name val="Montserrat"/>
    </font>
    <font>
      <sz val="16.0"/>
      <color rgb="FFEBEBEB"/>
      <name val="Montserrat"/>
    </font>
    <font>
      <b/>
      <sz val="22.0"/>
      <color rgb="FFEBEBEB"/>
      <name val="Montserrat"/>
    </font>
    <font>
      <sz val="28.0"/>
      <color rgb="FF11C3CB"/>
      <name val="Montserrat"/>
    </font>
  </fonts>
  <fills count="33">
    <fill>
      <patternFill patternType="none"/>
    </fill>
    <fill>
      <patternFill patternType="lightGray"/>
    </fill>
    <fill>
      <patternFill patternType="solid">
        <fgColor rgb="FF212735"/>
        <bgColor rgb="FF212735"/>
      </patternFill>
    </fill>
    <fill>
      <patternFill patternType="solid">
        <fgColor rgb="FF434343"/>
        <bgColor rgb="FF434343"/>
      </patternFill>
    </fill>
    <fill>
      <patternFill patternType="solid">
        <fgColor rgb="FF7F6000"/>
        <bgColor rgb="FF7F6000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000000"/>
        <bgColor rgb="FF000000"/>
      </patternFill>
    </fill>
    <fill>
      <patternFill patternType="solid">
        <fgColor rgb="FF0F4848"/>
        <bgColor rgb="FF0F4848"/>
      </patternFill>
    </fill>
    <fill>
      <patternFill patternType="solid">
        <fgColor rgb="FF0F3433"/>
        <bgColor rgb="FF0F3433"/>
      </patternFill>
    </fill>
    <fill>
      <patternFill patternType="solid">
        <fgColor rgb="FF0F5A4F"/>
        <bgColor rgb="FF0F5A4F"/>
      </patternFill>
    </fill>
    <fill>
      <patternFill patternType="solid">
        <fgColor rgb="FF0F453F"/>
        <bgColor rgb="FF0F453F"/>
      </patternFill>
    </fill>
    <fill>
      <patternFill patternType="solid">
        <fgColor rgb="FF0D405D"/>
        <bgColor rgb="FF0D405D"/>
      </patternFill>
    </fill>
    <fill>
      <patternFill patternType="solid">
        <fgColor rgb="FF0B2A3C"/>
        <bgColor rgb="FF0B2A3C"/>
      </patternFill>
    </fill>
    <fill>
      <patternFill patternType="solid">
        <fgColor rgb="FF0E373A"/>
        <bgColor rgb="FF0E373A"/>
      </patternFill>
    </fill>
    <fill>
      <patternFill patternType="solid">
        <fgColor rgb="FF0E2527"/>
        <bgColor rgb="FF0E2527"/>
      </patternFill>
    </fill>
    <fill>
      <patternFill patternType="solid">
        <fgColor rgb="FF0E4D46"/>
        <bgColor rgb="FF0E4D46"/>
      </patternFill>
    </fill>
    <fill>
      <patternFill patternType="solid">
        <fgColor rgb="FF0E3736"/>
        <bgColor rgb="FF0E3736"/>
      </patternFill>
    </fill>
    <fill>
      <patternFill patternType="solid">
        <fgColor rgb="FF0C3E53"/>
        <bgColor rgb="FF0C3E53"/>
      </patternFill>
    </fill>
    <fill>
      <patternFill patternType="solid">
        <fgColor rgb="FF0D3146"/>
        <bgColor rgb="FF0D314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8141D"/>
      </right>
      <top style="thick">
        <color rgb="FF08141D"/>
      </top>
      <bottom style="thick">
        <color rgb="FF08141D"/>
      </bottom>
    </border>
    <border>
      <left style="thick">
        <color rgb="FF08141D"/>
      </left>
      <right style="thick">
        <color rgb="FF08141D"/>
      </right>
      <top style="thick">
        <color rgb="FF08141D"/>
      </top>
      <bottom style="thick">
        <color rgb="FF08141D"/>
      </bottom>
    </border>
    <border>
      <left style="thick">
        <color rgb="FF08141D"/>
      </left>
      <bottom style="thick">
        <color rgb="FF08141D"/>
      </bottom>
    </border>
    <border>
      <bottom style="thick">
        <color rgb="FF08141D"/>
      </bottom>
    </border>
    <border>
      <right style="thick">
        <color rgb="FF08141D"/>
      </right>
      <bottom style="thick">
        <color rgb="FF08141D"/>
      </bottom>
    </border>
    <border>
      <top style="thick">
        <color rgb="FF08141D"/>
      </top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top"/>
    </xf>
    <xf borderId="0" fillId="2" fontId="2" numFmtId="0" xfId="0" applyAlignment="1" applyFont="1">
      <alignment horizontal="center" readingOrder="0" vertical="center"/>
    </xf>
    <xf borderId="0" fillId="3" fontId="3" numFmtId="49" xfId="0" applyAlignment="1" applyFill="1" applyFont="1" applyNumberFormat="1">
      <alignment horizontal="center" readingOrder="0" vertical="center"/>
    </xf>
    <xf borderId="0" fillId="4" fontId="3" numFmtId="49" xfId="0" applyAlignment="1" applyFill="1" applyFont="1" applyNumberFormat="1">
      <alignment horizontal="center" readingOrder="0" vertical="center"/>
    </xf>
    <xf borderId="0" fillId="5" fontId="3" numFmtId="49" xfId="0" applyAlignment="1" applyFill="1" applyFont="1" applyNumberFormat="1">
      <alignment horizontal="center" readingOrder="0" vertical="center"/>
    </xf>
    <xf borderId="0" fillId="6" fontId="3" numFmtId="49" xfId="0" applyAlignment="1" applyFill="1" applyFont="1" applyNumberFormat="1">
      <alignment horizontal="center" readingOrder="0" vertical="center"/>
    </xf>
    <xf borderId="1" fillId="7" fontId="4" numFmtId="49" xfId="0" applyAlignment="1" applyBorder="1" applyFill="1" applyFont="1" applyNumberFormat="1">
      <alignment horizontal="center" readingOrder="0" vertical="center"/>
    </xf>
    <xf borderId="1" fillId="7" fontId="4" numFmtId="0" xfId="0" applyAlignment="1" applyBorder="1" applyFont="1">
      <alignment readingOrder="0" vertical="center"/>
    </xf>
    <xf borderId="1" fillId="7" fontId="4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ill="1" applyFont="1">
      <alignment horizontal="center" readingOrder="0" vertical="center"/>
    </xf>
    <xf borderId="1" fillId="10" fontId="6" numFmtId="49" xfId="0" applyAlignment="1" applyBorder="1" applyFont="1" applyNumberFormat="1">
      <alignment horizontal="center" readingOrder="0" vertical="top"/>
    </xf>
    <xf borderId="1" fillId="11" fontId="7" numFmtId="0" xfId="0" applyAlignment="1" applyBorder="1" applyFill="1" applyFont="1">
      <alignment readingOrder="0" vertical="bottom"/>
    </xf>
    <xf borderId="1" fillId="11" fontId="6" numFmtId="0" xfId="0" applyAlignment="1" applyBorder="1" applyFont="1">
      <alignment horizontal="center" readingOrder="0" vertical="bottom"/>
    </xf>
    <xf borderId="1" fillId="12" fontId="4" numFmtId="0" xfId="0" applyAlignment="1" applyBorder="1" applyFill="1" applyFont="1">
      <alignment horizontal="center" vertical="center"/>
    </xf>
    <xf borderId="1" fillId="12" fontId="8" numFmtId="164" xfId="0" applyAlignment="1" applyBorder="1" applyFont="1" applyNumberFormat="1">
      <alignment horizontal="center" vertical="center"/>
    </xf>
    <xf borderId="1" fillId="13" fontId="4" numFmtId="0" xfId="0" applyAlignment="1" applyBorder="1" applyFill="1" applyFont="1">
      <alignment horizontal="center" vertical="center"/>
    </xf>
    <xf borderId="1" fillId="13" fontId="8" numFmtId="164" xfId="0" applyAlignment="1" applyBorder="1" applyFont="1" applyNumberFormat="1">
      <alignment horizontal="center" vertical="center"/>
    </xf>
    <xf borderId="1" fillId="14" fontId="4" numFmtId="0" xfId="0" applyAlignment="1" applyBorder="1" applyFill="1" applyFont="1">
      <alignment horizontal="center" vertical="center"/>
    </xf>
    <xf borderId="1" fillId="14" fontId="8" numFmtId="164" xfId="0" applyAlignment="1" applyBorder="1" applyFont="1" applyNumberFormat="1">
      <alignment horizontal="center" vertical="center"/>
    </xf>
    <xf borderId="1" fillId="15" fontId="6" numFmtId="49" xfId="0" applyAlignment="1" applyBorder="1" applyFill="1" applyFont="1" applyNumberFormat="1">
      <alignment horizontal="center" readingOrder="0" vertical="top"/>
    </xf>
    <xf borderId="1" fillId="9" fontId="6" numFmtId="49" xfId="0" applyAlignment="1" applyBorder="1" applyFont="1" applyNumberFormat="1">
      <alignment horizontal="center" readingOrder="0" vertical="top"/>
    </xf>
    <xf borderId="1" fillId="16" fontId="6" numFmtId="49" xfId="0" applyAlignment="1" applyBorder="1" applyFill="1" applyFont="1" applyNumberFormat="1">
      <alignment horizontal="center" readingOrder="0" vertical="top"/>
    </xf>
    <xf borderId="1" fillId="17" fontId="6" numFmtId="49" xfId="0" applyAlignment="1" applyBorder="1" applyFill="1" applyFont="1" applyNumberFormat="1">
      <alignment horizontal="center" readingOrder="0" vertical="top"/>
    </xf>
    <xf borderId="1" fillId="18" fontId="6" numFmtId="49" xfId="0" applyAlignment="1" applyBorder="1" applyFill="1" applyFont="1" applyNumberFormat="1">
      <alignment horizontal="center" readingOrder="0" vertical="top"/>
    </xf>
    <xf borderId="1" fillId="19" fontId="6" numFmtId="49" xfId="0" applyAlignment="1" applyBorder="1" applyFill="1" applyFont="1" applyNumberFormat="1">
      <alignment horizontal="center" readingOrder="0" vertical="top"/>
    </xf>
    <xf borderId="1" fillId="8" fontId="6" numFmtId="49" xfId="0" applyAlignment="1" applyBorder="1" applyFont="1" applyNumberFormat="1">
      <alignment horizontal="center" readingOrder="0" vertical="top"/>
    </xf>
    <xf borderId="2" fillId="0" fontId="9" numFmtId="49" xfId="0" applyAlignment="1" applyBorder="1" applyFont="1" applyNumberFormat="1">
      <alignment horizontal="center" vertical="top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center"/>
    </xf>
    <xf borderId="2" fillId="0" fontId="9" numFmtId="165" xfId="0" applyAlignment="1" applyBorder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4" fontId="10" numFmtId="49" xfId="0" applyAlignment="1" applyFont="1" applyNumberFormat="1">
      <alignment horizontal="center" readingOrder="0" vertical="center"/>
    </xf>
    <xf borderId="0" fillId="5" fontId="10" numFmtId="49" xfId="0" applyAlignment="1" applyFont="1" applyNumberFormat="1">
      <alignment horizontal="center" readingOrder="0" vertical="center"/>
    </xf>
    <xf borderId="0" fillId="6" fontId="10" numFmtId="49" xfId="0" applyAlignment="1" applyFont="1" applyNumberFormat="1">
      <alignment horizontal="center" readingOrder="0" vertical="center"/>
    </xf>
    <xf borderId="0" fillId="4" fontId="11" numFmtId="49" xfId="0" applyAlignment="1" applyFont="1" applyNumberFormat="1">
      <alignment horizontal="right" readingOrder="0"/>
    </xf>
    <xf borderId="0" fillId="4" fontId="11" numFmtId="49" xfId="0" applyAlignment="1" applyFont="1" applyNumberFormat="1">
      <alignment horizontal="left" readingOrder="0"/>
    </xf>
    <xf borderId="0" fillId="5" fontId="11" numFmtId="49" xfId="0" applyAlignment="1" applyFont="1" applyNumberFormat="1">
      <alignment horizontal="right" readingOrder="0"/>
    </xf>
    <xf borderId="0" fillId="5" fontId="11" numFmtId="49" xfId="0" applyAlignment="1" applyFont="1" applyNumberFormat="1">
      <alignment horizontal="left" readingOrder="0"/>
    </xf>
    <xf borderId="0" fillId="6" fontId="11" numFmtId="49" xfId="0" applyAlignment="1" applyFont="1" applyNumberFormat="1">
      <alignment horizontal="right" readingOrder="0"/>
    </xf>
    <xf borderId="0" fillId="6" fontId="11" numFmtId="49" xfId="0" applyAlignment="1" applyFont="1" applyNumberFormat="1">
      <alignment horizontal="left" readingOrder="0"/>
    </xf>
    <xf borderId="0" fillId="2" fontId="12" numFmtId="49" xfId="0" applyAlignment="1" applyFont="1" applyNumberFormat="1">
      <alignment horizontal="center" vertical="top"/>
    </xf>
    <xf borderId="0" fillId="2" fontId="12" numFmtId="166" xfId="0" applyAlignment="1" applyFont="1" applyNumberFormat="1">
      <alignment readingOrder="0" vertical="bottom"/>
    </xf>
    <xf borderId="0" fillId="2" fontId="12" numFmtId="166" xfId="0" applyAlignment="1" applyFont="1" applyNumberFormat="1">
      <alignment horizontal="center" readingOrder="0" vertical="bottom"/>
    </xf>
    <xf borderId="0" fillId="2" fontId="13" numFmtId="165" xfId="0" applyAlignment="1" applyFont="1" applyNumberFormat="1">
      <alignment horizontal="center" vertical="center"/>
    </xf>
    <xf borderId="0" fillId="2" fontId="14" numFmtId="165" xfId="0" applyAlignment="1" applyFont="1" applyNumberFormat="1">
      <alignment horizontal="right" readingOrder="0"/>
    </xf>
    <xf borderId="0" fillId="2" fontId="12" numFmtId="0" xfId="0" applyAlignment="1" applyFont="1">
      <alignment horizontal="center" readingOrder="0"/>
    </xf>
    <xf borderId="0" fillId="2" fontId="12" numFmtId="165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12" numFmtId="166" xfId="0" applyAlignment="1" applyFont="1" applyNumberFormat="1">
      <alignment horizontal="left" readingOrder="0" vertical="bottom"/>
    </xf>
    <xf borderId="0" fillId="2" fontId="12" numFmtId="165" xfId="0" applyAlignment="1" applyFont="1" applyNumberFormat="1">
      <alignment horizontal="left" readingOrder="0" vertical="center"/>
    </xf>
    <xf borderId="0" fillId="2" fontId="15" numFmtId="49" xfId="0" applyAlignment="1" applyFont="1" applyNumberFormat="1">
      <alignment horizontal="center" vertical="top"/>
    </xf>
    <xf borderId="0" fillId="2" fontId="12" numFmtId="166" xfId="0" applyAlignment="1" applyFont="1" applyNumberFormat="1">
      <alignment readingOrder="0" vertical="bottom"/>
    </xf>
    <xf borderId="0" fillId="2" fontId="12" numFmtId="166" xfId="0" applyAlignment="1" applyFont="1" applyNumberFormat="1">
      <alignment horizontal="right" readingOrder="0" vertical="bottom"/>
    </xf>
    <xf borderId="0" fillId="2" fontId="12" numFmtId="164" xfId="0" applyAlignment="1" applyFont="1" applyNumberFormat="1">
      <alignment horizontal="center" readingOrder="0" vertical="bottom"/>
    </xf>
    <xf borderId="0" fillId="2" fontId="13" numFmtId="166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10" fontId="16" numFmtId="49" xfId="0" applyAlignment="1" applyBorder="1" applyFont="1" applyNumberFormat="1">
      <alignment horizontal="center" readingOrder="0" shrinkToFit="0" vertical="center" wrapText="1"/>
    </xf>
    <xf borderId="1" fillId="10" fontId="16" numFmtId="0" xfId="0" applyAlignment="1" applyBorder="1" applyFont="1">
      <alignment readingOrder="0" shrinkToFit="0" vertical="center" wrapText="1"/>
    </xf>
    <xf borderId="1" fillId="10" fontId="16" numFmtId="0" xfId="0" applyAlignment="1" applyBorder="1" applyFont="1">
      <alignment horizontal="center" readingOrder="0" shrinkToFit="0" vertical="center" wrapText="1"/>
    </xf>
    <xf borderId="1" fillId="10" fontId="6" numFmtId="165" xfId="0" applyAlignment="1" applyBorder="1" applyFont="1" applyNumberForma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1" fillId="10" fontId="4" numFmtId="164" xfId="0" applyAlignment="1" applyBorder="1" applyFont="1" applyNumberFormat="1">
      <alignment horizontal="center" shrinkToFit="0" vertical="center" wrapText="1"/>
    </xf>
    <xf borderId="1" fillId="0" fontId="17" numFmtId="49" xfId="0" applyAlignment="1" applyBorder="1" applyFont="1" applyNumberFormat="1">
      <alignment horizontal="center" readingOrder="0" shrinkToFit="0" vertical="center" wrapText="1"/>
    </xf>
    <xf borderId="3" fillId="0" fontId="18" numFmtId="0" xfId="0" applyAlignment="1" applyBorder="1" applyFont="1">
      <alignment horizontal="left" readingOrder="0" shrinkToFit="0" wrapText="1"/>
    </xf>
    <xf borderId="4" fillId="0" fontId="19" numFmtId="0" xfId="0" applyBorder="1" applyFont="1"/>
    <xf borderId="1" fillId="0" fontId="20" numFmtId="165" xfId="0" applyAlignment="1" applyBorder="1" applyFont="1" applyNumberFormat="1">
      <alignment horizontal="center" shrinkToFit="0" vertical="top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1" numFmtId="164" xfId="0" applyAlignment="1" applyBorder="1" applyFont="1" applyNumberFormat="1">
      <alignment horizontal="center" shrinkToFit="0" vertical="center" wrapText="1"/>
    </xf>
    <xf borderId="5" fillId="0" fontId="20" numFmtId="165" xfId="0" applyAlignment="1" applyBorder="1" applyFont="1" applyNumberFormat="1">
      <alignment horizontal="center" shrinkToFit="0" vertical="top" wrapText="1"/>
    </xf>
    <xf borderId="3" fillId="0" fontId="17" numFmtId="0" xfId="0" applyAlignment="1" applyBorder="1" applyFont="1">
      <alignment readingOrder="0" shrinkToFit="0" vertical="center" wrapText="1"/>
    </xf>
    <xf borderId="1" fillId="0" fontId="17" numFmtId="49" xfId="0" applyAlignment="1" applyBorder="1" applyFont="1" applyNumberFormat="1">
      <alignment horizontal="center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7" fillId="0" fontId="20" numFmtId="165" xfId="0" applyAlignment="1" applyBorder="1" applyFont="1" applyNumberForma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7" fillId="0" fontId="20" numFmtId="165" xfId="0" applyAlignment="1" applyBorder="1" applyFont="1" applyNumberFormat="1">
      <alignment horizontal="center" shrinkToFit="0" vertical="center" wrapText="1"/>
    </xf>
    <xf borderId="2" fillId="0" fontId="9" numFmtId="165" xfId="0" applyAlignment="1" applyBorder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2" fontId="13" numFmtId="165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15" fontId="16" numFmtId="49" xfId="0" applyAlignment="1" applyBorder="1" applyFont="1" applyNumberFormat="1">
      <alignment horizontal="center" readingOrder="0" vertical="top"/>
    </xf>
    <xf borderId="1" fillId="15" fontId="16" numFmtId="0" xfId="0" applyAlignment="1" applyBorder="1" applyFont="1">
      <alignment readingOrder="0" vertical="bottom"/>
    </xf>
    <xf borderId="1" fillId="15" fontId="16" numFmtId="0" xfId="0" applyAlignment="1" applyBorder="1" applyFont="1">
      <alignment horizontal="center" readingOrder="0" vertical="center"/>
    </xf>
    <xf borderId="1" fillId="15" fontId="6" numFmtId="165" xfId="0" applyAlignment="1" applyBorder="1" applyFont="1" applyNumberFormat="1">
      <alignment horizontal="center" vertical="center"/>
    </xf>
    <xf borderId="1" fillId="15" fontId="16" numFmtId="0" xfId="0" applyAlignment="1" applyBorder="1" applyFont="1">
      <alignment horizontal="center" vertical="center"/>
    </xf>
    <xf borderId="1" fillId="15" fontId="4" numFmtId="164" xfId="0" applyAlignment="1" applyBorder="1" applyFont="1" applyNumberFormat="1">
      <alignment horizontal="center" vertical="center"/>
    </xf>
    <xf borderId="1" fillId="0" fontId="17" numFmtId="49" xfId="0" applyAlignment="1" applyBorder="1" applyFont="1" applyNumberFormat="1">
      <alignment horizontal="center" readingOrder="0" vertical="top"/>
    </xf>
    <xf borderId="3" fillId="0" fontId="17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center"/>
    </xf>
    <xf borderId="1" fillId="0" fontId="21" numFmtId="164" xfId="0" applyAlignment="1" applyBorder="1" applyFont="1" applyNumberFormat="1">
      <alignment horizontal="center" vertical="center"/>
    </xf>
    <xf borderId="6" fillId="0" fontId="19" numFmtId="0" xfId="0" applyBorder="1" applyFont="1"/>
    <xf borderId="5" fillId="0" fontId="20" numFmtId="165" xfId="0" applyAlignment="1" applyBorder="1" applyFont="1" applyNumberFormat="1">
      <alignment horizontal="center" readingOrder="0" shrinkToFit="0" vertical="top" wrapText="1"/>
    </xf>
    <xf borderId="3" fillId="0" fontId="17" numFmtId="0" xfId="0" applyAlignment="1" applyBorder="1" applyFont="1">
      <alignment readingOrder="0" shrinkToFit="0" vertical="bottom" wrapText="1"/>
    </xf>
    <xf borderId="3" fillId="0" fontId="17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readingOrder="0" shrinkToFit="0" wrapText="1"/>
    </xf>
    <xf borderId="8" fillId="0" fontId="17" numFmtId="0" xfId="0" applyAlignment="1" applyBorder="1" applyFont="1">
      <alignment readingOrder="0" shrinkToFit="0" vertical="bottom" wrapText="1"/>
    </xf>
    <xf borderId="9" fillId="0" fontId="19" numFmtId="0" xfId="0" applyBorder="1" applyFont="1"/>
    <xf borderId="8" fillId="0" fontId="17" numFmtId="0" xfId="0" applyAlignment="1" applyBorder="1" applyFont="1">
      <alignment readingOrder="0" vertical="bottom"/>
    </xf>
    <xf borderId="8" fillId="0" fontId="17" numFmtId="0" xfId="0" applyAlignment="1" applyBorder="1" applyFont="1">
      <alignment readingOrder="0" shrinkToFit="0" vertical="center" wrapText="1"/>
    </xf>
    <xf borderId="10" fillId="0" fontId="19" numFmtId="0" xfId="0" applyBorder="1" applyFont="1"/>
    <xf borderId="0" fillId="0" fontId="20" numFmtId="165" xfId="0" applyAlignment="1" applyFont="1" applyNumberFormat="1">
      <alignment horizontal="center" readingOrder="0" shrinkToFit="0" vertical="top" wrapText="1"/>
    </xf>
    <xf borderId="1" fillId="0" fontId="9" numFmtId="49" xfId="0" applyAlignment="1" applyBorder="1" applyFont="1" applyNumberFormat="1">
      <alignment horizontal="center" vertical="top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center"/>
    </xf>
    <xf borderId="0" fillId="0" fontId="9" numFmtId="165" xfId="0" applyAlignment="1" applyFont="1" applyNumberFormat="1">
      <alignment horizontal="center" vertical="top"/>
    </xf>
    <xf borderId="1" fillId="0" fontId="9" numFmtId="165" xfId="0" applyAlignment="1" applyBorder="1" applyFont="1" applyNumberFormat="1">
      <alignment horizontal="center" vertical="center"/>
    </xf>
    <xf borderId="1" fillId="20" fontId="1" numFmtId="49" xfId="0" applyAlignment="1" applyBorder="1" applyFill="1" applyFont="1" applyNumberFormat="1">
      <alignment horizontal="center" vertical="top"/>
    </xf>
    <xf borderId="1" fillId="20" fontId="1" numFmtId="0" xfId="0" applyAlignment="1" applyBorder="1" applyFont="1">
      <alignment vertical="bottom"/>
    </xf>
    <xf borderId="1" fillId="20" fontId="14" numFmtId="0" xfId="0" applyAlignment="1" applyBorder="1" applyFont="1">
      <alignment horizontal="center" vertical="center"/>
    </xf>
    <xf borderId="0" fillId="2" fontId="3" numFmtId="165" xfId="0" applyAlignment="1" applyFont="1" applyNumberFormat="1">
      <alignment horizontal="center" readingOrder="0" vertical="top"/>
    </xf>
    <xf borderId="0" fillId="20" fontId="13" numFmtId="165" xfId="0" applyAlignment="1" applyFont="1" applyNumberFormat="1">
      <alignment horizontal="center" vertical="center"/>
    </xf>
    <xf borderId="1" fillId="9" fontId="16" numFmtId="49" xfId="0" applyAlignment="1" applyBorder="1" applyFont="1" applyNumberFormat="1">
      <alignment horizontal="center" readingOrder="0" vertical="center"/>
    </xf>
    <xf borderId="1" fillId="9" fontId="16" numFmtId="0" xfId="0" applyAlignment="1" applyBorder="1" applyFont="1">
      <alignment readingOrder="0" vertical="center"/>
    </xf>
    <xf borderId="1" fillId="9" fontId="16" numFmtId="0" xfId="0" applyAlignment="1" applyBorder="1" applyFont="1">
      <alignment horizontal="center" readingOrder="0" vertical="center"/>
    </xf>
    <xf borderId="1" fillId="9" fontId="16" numFmtId="0" xfId="0" applyAlignment="1" applyBorder="1" applyFont="1">
      <alignment horizontal="center" vertical="center"/>
    </xf>
    <xf borderId="1" fillId="9" fontId="4" numFmtId="164" xfId="0" applyAlignment="1" applyBorder="1" applyFont="1" applyNumberFormat="1">
      <alignment horizontal="center" vertical="center"/>
    </xf>
    <xf borderId="1" fillId="0" fontId="17" numFmtId="49" xfId="0" applyAlignment="1" applyBorder="1" applyFont="1" applyNumberFormat="1">
      <alignment horizontal="center" readingOrder="0" vertical="center"/>
    </xf>
    <xf borderId="3" fillId="0" fontId="18" numFmtId="0" xfId="0" applyAlignment="1" applyBorder="1" applyFont="1">
      <alignment horizontal="left" readingOrder="0" shrinkToFit="0" vertical="center" wrapText="1"/>
    </xf>
    <xf borderId="1" fillId="0" fontId="20" numFmtId="165" xfId="0" applyAlignment="1" applyBorder="1" applyFont="1" applyNumberFormat="1">
      <alignment horizontal="center" shrinkToFit="0" vertical="center" wrapText="1"/>
    </xf>
    <xf borderId="5" fillId="0" fontId="20" numFmtId="165" xfId="0" applyAlignment="1" applyBorder="1" applyFont="1" applyNumberFormat="1">
      <alignment horizontal="center" readingOrder="0" shrinkToFit="0" vertical="center" wrapText="1"/>
    </xf>
    <xf borderId="5" fillId="0" fontId="20" numFmtId="165" xfId="0" applyAlignment="1" applyBorder="1" applyFont="1" applyNumberFormat="1">
      <alignment horizontal="center" shrinkToFit="0" vertical="center" wrapText="1"/>
    </xf>
    <xf borderId="3" fillId="0" fontId="17" numFmtId="0" xfId="0" applyAlignment="1" applyBorder="1" applyFont="1">
      <alignment readingOrder="0" vertical="center"/>
    </xf>
    <xf borderId="3" fillId="0" fontId="9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readingOrder="0" vertical="center"/>
    </xf>
    <xf borderId="1" fillId="12" fontId="9" numFmtId="0" xfId="0" applyAlignment="1" applyBorder="1" applyFont="1">
      <alignment horizontal="center" readingOrder="0" vertical="center"/>
    </xf>
    <xf borderId="1" fillId="0" fontId="9" numFmtId="4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vertical="center"/>
    </xf>
    <xf borderId="1" fillId="16" fontId="16" numFmtId="49" xfId="0" applyAlignment="1" applyBorder="1" applyFont="1" applyNumberFormat="1">
      <alignment horizontal="center" readingOrder="0" vertical="top"/>
    </xf>
    <xf borderId="1" fillId="16" fontId="16" numFmtId="0" xfId="0" applyAlignment="1" applyBorder="1" applyFont="1">
      <alignment readingOrder="0" vertical="bottom"/>
    </xf>
    <xf borderId="1" fillId="16" fontId="16" numFmtId="0" xfId="0" applyAlignment="1" applyBorder="1" applyFont="1">
      <alignment horizontal="center" readingOrder="0" vertical="center"/>
    </xf>
    <xf borderId="1" fillId="16" fontId="16" numFmtId="0" xfId="0" applyAlignment="1" applyBorder="1" applyFont="1">
      <alignment horizontal="center" vertical="center"/>
    </xf>
    <xf borderId="1" fillId="16" fontId="4" numFmtId="164" xfId="0" applyAlignment="1" applyBorder="1" applyFont="1" applyNumberFormat="1">
      <alignment horizontal="center" vertical="center"/>
    </xf>
    <xf borderId="1" fillId="0" fontId="20" numFmtId="165" xfId="0" applyAlignment="1" applyBorder="1" applyFont="1" applyNumberFormat="1">
      <alignment horizontal="center" vertical="top"/>
    </xf>
    <xf borderId="3" fillId="0" fontId="17" numFmtId="0" xfId="0" applyAlignment="1" applyBorder="1" applyFont="1">
      <alignment shrinkToFit="0" vertical="bottom" wrapText="1"/>
    </xf>
    <xf borderId="6" fillId="0" fontId="17" numFmtId="0" xfId="0" applyAlignment="1" applyBorder="1" applyFont="1">
      <alignment readingOrder="0" shrinkToFit="0" vertical="bottom" wrapText="1"/>
    </xf>
    <xf borderId="4" fillId="0" fontId="20" numFmtId="165" xfId="0" applyAlignment="1" applyBorder="1" applyFont="1" applyNumberFormat="1">
      <alignment horizontal="center" vertical="top"/>
    </xf>
    <xf borderId="8" fillId="0" fontId="17" numFmtId="0" xfId="0" applyAlignment="1" applyBorder="1" applyFont="1">
      <alignment readingOrder="0" shrinkToFit="0" vertical="top" wrapText="1"/>
    </xf>
    <xf borderId="1" fillId="17" fontId="16" numFmtId="49" xfId="0" applyAlignment="1" applyBorder="1" applyFont="1" applyNumberFormat="1">
      <alignment horizontal="center" vertical="top"/>
    </xf>
    <xf borderId="1" fillId="17" fontId="16" numFmtId="0" xfId="0" applyAlignment="1" applyBorder="1" applyFont="1">
      <alignment readingOrder="0" vertical="bottom"/>
    </xf>
    <xf borderId="1" fillId="17" fontId="16" numFmtId="0" xfId="0" applyAlignment="1" applyBorder="1" applyFont="1">
      <alignment horizontal="center" readingOrder="0" vertical="center"/>
    </xf>
    <xf borderId="1" fillId="17" fontId="16" numFmtId="0" xfId="0" applyAlignment="1" applyBorder="1" applyFont="1">
      <alignment horizontal="center" vertical="center"/>
    </xf>
    <xf borderId="1" fillId="17" fontId="4" numFmtId="164" xfId="0" applyAlignment="1" applyBorder="1" applyFont="1" applyNumberFormat="1">
      <alignment horizontal="center" vertical="center"/>
    </xf>
    <xf borderId="3" fillId="0" fontId="22" numFmtId="0" xfId="0" applyAlignment="1" applyBorder="1" applyFont="1">
      <alignment readingOrder="0" vertical="bottom"/>
    </xf>
    <xf borderId="1" fillId="18" fontId="16" numFmtId="49" xfId="0" applyAlignment="1" applyBorder="1" applyFont="1" applyNumberFormat="1">
      <alignment horizontal="center" vertical="top"/>
    </xf>
    <xf borderId="1" fillId="18" fontId="16" numFmtId="0" xfId="0" applyAlignment="1" applyBorder="1" applyFont="1">
      <alignment vertical="bottom"/>
    </xf>
    <xf borderId="1" fillId="18" fontId="16" numFmtId="0" xfId="0" applyAlignment="1" applyBorder="1" applyFont="1">
      <alignment horizontal="center" readingOrder="0" vertical="center"/>
    </xf>
    <xf borderId="1" fillId="18" fontId="16" numFmtId="0" xfId="0" applyAlignment="1" applyBorder="1" applyFont="1">
      <alignment horizontal="center" vertical="center"/>
    </xf>
    <xf borderId="1" fillId="18" fontId="4" numFmtId="164" xfId="0" applyAlignment="1" applyBorder="1" applyFont="1" applyNumberFormat="1">
      <alignment horizontal="center" vertical="center"/>
    </xf>
    <xf borderId="1" fillId="0" fontId="20" numFmtId="165" xfId="0" applyAlignment="1" applyBorder="1" applyFont="1" applyNumberFormat="1">
      <alignment horizontal="center" readingOrder="0" shrinkToFit="0" vertical="top" wrapText="1"/>
    </xf>
    <xf borderId="8" fillId="0" fontId="17" numFmtId="0" xfId="0" applyAlignment="1" applyBorder="1" applyFont="1">
      <alignment vertical="bottom"/>
    </xf>
    <xf borderId="1" fillId="0" fontId="9" numFmtId="0" xfId="0" applyAlignment="1" applyBorder="1" applyFont="1">
      <alignment horizontal="center"/>
    </xf>
    <xf borderId="1" fillId="19" fontId="16" numFmtId="49" xfId="0" applyAlignment="1" applyBorder="1" applyFont="1" applyNumberFormat="1">
      <alignment horizontal="center" vertical="top"/>
    </xf>
    <xf borderId="1" fillId="19" fontId="16" numFmtId="0" xfId="0" applyAlignment="1" applyBorder="1" applyFont="1">
      <alignment readingOrder="0" vertical="bottom"/>
    </xf>
    <xf borderId="1" fillId="19" fontId="16" numFmtId="0" xfId="0" applyAlignment="1" applyBorder="1" applyFont="1">
      <alignment horizontal="center" readingOrder="0" vertical="center"/>
    </xf>
    <xf borderId="1" fillId="19" fontId="16" numFmtId="0" xfId="0" applyAlignment="1" applyBorder="1" applyFont="1">
      <alignment horizontal="center" vertical="center"/>
    </xf>
    <xf borderId="1" fillId="19" fontId="4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left" readingOrder="0" shrinkToFit="0" wrapText="1"/>
    </xf>
    <xf borderId="1" fillId="8" fontId="16" numFmtId="49" xfId="0" applyAlignment="1" applyBorder="1" applyFont="1" applyNumberFormat="1">
      <alignment horizontal="center" vertical="top"/>
    </xf>
    <xf borderId="1" fillId="8" fontId="16" numFmtId="0" xfId="0" applyAlignment="1" applyBorder="1" applyFont="1">
      <alignment readingOrder="0" vertical="bottom"/>
    </xf>
    <xf borderId="1" fillId="8" fontId="16" numFmtId="0" xfId="0" applyAlignment="1" applyBorder="1" applyFont="1">
      <alignment horizontal="center" readingOrder="0" vertical="center"/>
    </xf>
    <xf borderId="1" fillId="8" fontId="16" numFmtId="0" xfId="0" applyAlignment="1" applyBorder="1" applyFont="1">
      <alignment horizontal="center" vertical="center"/>
    </xf>
    <xf borderId="1" fillId="8" fontId="4" numFmtId="164" xfId="0" applyAlignment="1" applyBorder="1" applyFont="1" applyNumberFormat="1">
      <alignment horizontal="center" vertical="center"/>
    </xf>
    <xf borderId="5" fillId="0" fontId="20" numFmtId="165" xfId="0" applyAlignment="1" applyBorder="1" applyFont="1" applyNumberFormat="1">
      <alignment horizontal="center" vertical="top"/>
    </xf>
    <xf borderId="1" fillId="0" fontId="9" numFmtId="164" xfId="0" applyAlignment="1" applyBorder="1" applyFont="1" applyNumberFormat="1">
      <alignment horizontal="center" vertical="center"/>
    </xf>
    <xf borderId="0" fillId="20" fontId="13" numFmtId="164" xfId="0" applyAlignment="1" applyFont="1" applyNumberFormat="1">
      <alignment horizontal="center" vertical="center"/>
    </xf>
    <xf borderId="11" fillId="21" fontId="23" numFmtId="0" xfId="0" applyAlignment="1" applyBorder="1" applyFill="1" applyFont="1">
      <alignment horizontal="center" readingOrder="0" vertical="center"/>
    </xf>
    <xf borderId="11" fillId="22" fontId="23" numFmtId="0" xfId="0" applyAlignment="1" applyBorder="1" applyFill="1" applyFont="1">
      <alignment horizontal="center" readingOrder="0" vertical="center"/>
    </xf>
    <xf borderId="11" fillId="23" fontId="23" numFmtId="0" xfId="0" applyAlignment="1" applyBorder="1" applyFill="1" applyFont="1">
      <alignment horizontal="center" readingOrder="0" vertical="center"/>
    </xf>
    <xf borderId="11" fillId="24" fontId="23" numFmtId="0" xfId="0" applyAlignment="1" applyBorder="1" applyFill="1" applyFont="1">
      <alignment horizontal="center" readingOrder="0" vertical="center"/>
    </xf>
    <xf borderId="11" fillId="25" fontId="23" numFmtId="0" xfId="0" applyAlignment="1" applyBorder="1" applyFill="1" applyFont="1">
      <alignment horizontal="center" readingOrder="0" vertical="center"/>
    </xf>
    <xf borderId="11" fillId="26" fontId="23" numFmtId="0" xfId="0" applyAlignment="1" applyBorder="1" applyFill="1" applyFont="1">
      <alignment horizontal="center" readingOrder="0" vertical="center"/>
    </xf>
    <xf borderId="12" fillId="27" fontId="24" numFmtId="0" xfId="0" applyAlignment="1" applyBorder="1" applyFill="1" applyFont="1">
      <alignment horizontal="center" vertical="center"/>
    </xf>
    <xf borderId="11" fillId="28" fontId="24" numFmtId="0" xfId="0" applyAlignment="1" applyBorder="1" applyFill="1" applyFont="1">
      <alignment horizontal="center" vertical="center"/>
    </xf>
    <xf borderId="12" fillId="27" fontId="25" numFmtId="164" xfId="0" applyAlignment="1" applyBorder="1" applyFont="1" applyNumberFormat="1">
      <alignment horizontal="center" vertical="center"/>
    </xf>
    <xf borderId="11" fillId="28" fontId="25" numFmtId="164" xfId="0" applyAlignment="1" applyBorder="1" applyFont="1" applyNumberFormat="1">
      <alignment horizontal="center" vertical="center"/>
    </xf>
    <xf borderId="11" fillId="29" fontId="24" numFmtId="0" xfId="0" applyAlignment="1" applyBorder="1" applyFill="1" applyFont="1">
      <alignment horizontal="center" vertical="center"/>
    </xf>
    <xf borderId="11" fillId="30" fontId="24" numFmtId="0" xfId="0" applyAlignment="1" applyBorder="1" applyFill="1" applyFont="1">
      <alignment horizontal="center" vertical="center"/>
    </xf>
    <xf borderId="11" fillId="29" fontId="25" numFmtId="164" xfId="0" applyAlignment="1" applyBorder="1" applyFont="1" applyNumberFormat="1">
      <alignment horizontal="center" vertical="center"/>
    </xf>
    <xf borderId="11" fillId="30" fontId="25" numFmtId="164" xfId="0" applyAlignment="1" applyBorder="1" applyFont="1" applyNumberFormat="1">
      <alignment horizontal="center" vertical="center"/>
    </xf>
    <xf borderId="11" fillId="31" fontId="24" numFmtId="0" xfId="0" applyAlignment="1" applyBorder="1" applyFill="1" applyFont="1">
      <alignment horizontal="center" vertical="center"/>
    </xf>
    <xf borderId="11" fillId="32" fontId="24" numFmtId="0" xfId="0" applyAlignment="1" applyBorder="1" applyFill="1" applyFont="1">
      <alignment horizontal="center" vertical="center"/>
    </xf>
    <xf borderId="11" fillId="31" fontId="25" numFmtId="164" xfId="0" applyAlignment="1" applyBorder="1" applyFont="1" applyNumberFormat="1">
      <alignment horizontal="center" vertical="center"/>
    </xf>
    <xf borderId="11" fillId="32" fontId="25" numFmtId="164" xfId="0" applyAlignment="1" applyBorder="1" applyFont="1" applyNumberFormat="1">
      <alignment horizontal="center" vertical="center"/>
    </xf>
    <xf borderId="12" fillId="27" fontId="25" numFmtId="0" xfId="0" applyAlignment="1" applyBorder="1" applyFont="1">
      <alignment horizontal="center" vertical="center"/>
    </xf>
    <xf borderId="11" fillId="28" fontId="25" numFmtId="0" xfId="0" applyAlignment="1" applyBorder="1" applyFont="1">
      <alignment horizontal="center" vertical="center"/>
    </xf>
    <xf borderId="11" fillId="29" fontId="25" numFmtId="0" xfId="0" applyAlignment="1" applyBorder="1" applyFont="1">
      <alignment horizontal="center" vertical="center"/>
    </xf>
    <xf borderId="11" fillId="30" fontId="25" numFmtId="0" xfId="0" applyAlignment="1" applyBorder="1" applyFont="1">
      <alignment horizontal="center" vertical="center"/>
    </xf>
    <xf borderId="11" fillId="31" fontId="25" numFmtId="0" xfId="0" applyAlignment="1" applyBorder="1" applyFont="1">
      <alignment horizontal="center" vertical="center"/>
    </xf>
    <xf borderId="11" fillId="32" fontId="25" numFmtId="0" xfId="0" applyAlignment="1" applyBorder="1" applyFont="1">
      <alignment horizontal="center" vertical="center"/>
    </xf>
    <xf borderId="13" fillId="21" fontId="26" numFmtId="49" xfId="0" applyAlignment="1" applyBorder="1" applyFont="1" applyNumberFormat="1">
      <alignment horizontal="center" readingOrder="0" vertical="center"/>
    </xf>
    <xf borderId="14" fillId="0" fontId="19" numFmtId="0" xfId="0" applyBorder="1" applyFont="1"/>
    <xf borderId="15" fillId="0" fontId="19" numFmtId="0" xfId="0" applyBorder="1" applyFont="1"/>
    <xf borderId="14" fillId="23" fontId="26" numFmtId="49" xfId="0" applyAlignment="1" applyBorder="1" applyFont="1" applyNumberFormat="1">
      <alignment horizontal="center" vertical="center"/>
    </xf>
    <xf borderId="14" fillId="25" fontId="26" numFmtId="49" xfId="0" applyAlignment="1" applyBorder="1" applyFont="1" applyNumberFormat="1">
      <alignment horizontal="center" vertical="center"/>
    </xf>
    <xf borderId="16" fillId="0" fontId="27" numFmtId="167" xfId="0" applyAlignment="1" applyBorder="1" applyFont="1" applyNumberFormat="1">
      <alignment horizontal="center" vertical="bottom"/>
    </xf>
    <xf borderId="16" fillId="0" fontId="19" numFmtId="0" xfId="0" applyBorder="1" applyFont="1"/>
    <xf borderId="16" fillId="0" fontId="2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lga Min" id="{a9616ad8-395c-4a4d-ab6c-2c89535d308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28T05:12:42.00" personId="{a9616ad8-395c-4a4d-ab6c-2c89535d3081}" id="{93658f8b-6deb-4e4d-b157-7bf03393a6f2}" done="0">
    <x18tc:text xml:space="preserve">пока не входит в границы проекта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5-03-28T03:19:39.00" personId="{a9616ad8-395c-4a4d-ab6c-2c89535d3081}" id="{35427040-f513-4416-a9bf-d771cb10ff43}" done="0">
    <x18tc:text xml:space="preserve">пока не входит в границы проекта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5-03-28T03:20:07.00" personId="{a9616ad8-395c-4a4d-ab6c-2c89535d3081}" id="{59833cd2-171f-4069-ad2e-c181db634d77}" done="0">
    <x18tc:text xml:space="preserve">как правило, включают, хотя в первоначальных требованиях не было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7" dT="2025-03-28T04:20:27.00" personId="{a9616ad8-395c-4a4d-ab6c-2c89535d3081}" id="{99f64b80-5701-4a1f-808d-a217a0b23d15}" done="0">
    <x18tc:text xml:space="preserve">пока не входит в границы проекта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5-03-28T08:28:32.00" personId="{a9616ad8-395c-4a4d-ab6c-2c89535d3081}" id="{54500cda-f4bb-4f6e-a211-fd8bbc7dab10}" done="0">
    <x18tc:text xml:space="preserve">в случае комиссиий при обычной торговле криптовалютой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://ston.fi/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8.25"/>
    <col customWidth="1" min="3" max="3" width="5.63"/>
    <col customWidth="1" min="4" max="14" width="6.5"/>
    <col customWidth="1" min="15" max="15" width="6.63"/>
  </cols>
  <sheetData>
    <row r="1" ht="48.75" customHeight="1">
      <c r="A1" s="1"/>
      <c r="B1" s="2" t="s">
        <v>0</v>
      </c>
    </row>
    <row r="2" ht="20.25" customHeight="1">
      <c r="A2" s="3" t="s">
        <v>1</v>
      </c>
      <c r="D2" s="4" t="s">
        <v>2</v>
      </c>
      <c r="H2" s="5" t="s">
        <v>3</v>
      </c>
      <c r="L2" s="6" t="s">
        <v>4</v>
      </c>
    </row>
    <row r="3">
      <c r="A3" s="7" t="s">
        <v>5</v>
      </c>
      <c r="B3" s="8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1" t="s">
        <v>8</v>
      </c>
      <c r="I3" s="11" t="s">
        <v>9</v>
      </c>
      <c r="J3" s="11" t="s">
        <v>10</v>
      </c>
      <c r="K3" s="11" t="s">
        <v>11</v>
      </c>
      <c r="L3" s="12" t="s">
        <v>8</v>
      </c>
      <c r="M3" s="12" t="s">
        <v>9</v>
      </c>
      <c r="N3" s="12" t="s">
        <v>10</v>
      </c>
      <c r="O3" s="12" t="s">
        <v>11</v>
      </c>
    </row>
    <row r="4">
      <c r="A4" s="13" t="s">
        <v>12</v>
      </c>
      <c r="B4" s="14" t="s">
        <v>13</v>
      </c>
      <c r="C4" s="15">
        <v>1.0</v>
      </c>
      <c r="D4" s="16">
        <f>ROUNDUP(
SUMIF('Анализ'!$D$4:'Анализ'!$D9, "DISCOVERY", 'Анализ'!E$4:'Анализ'!E9) 
+ (SUMIF('Анализ'!$D$4:'Анализ'!$D9, "SPREAD", 'Анализ'!E$4:'Анализ'!E9) 
* ($D$14 / ($D$14+$H$14+$L$14)))
+ (SUMIF('Анализ'!$D$4:'Анализ'!$D9, "DIS &amp; DEV", 'Анализ'!E$4:'Анализ'!E9) 
* ($D$14 / ($D$14+$H$14))),0)</f>
        <v>78</v>
      </c>
      <c r="E4" s="16">
        <f>ROUNDUP(
SUMIF('Анализ'!$D$4:'Анализ'!$D9, "DISCOVERY", 'Анализ'!F$4:'Анализ'!F9) 
+ (SUMIF('Анализ'!$D$4:'Анализ'!$D9, "SPREAD", 'Анализ'!F$4:'Анализ'!F9) 
* ($D$14 / ($D$14+$H$14+$L$14)))
+ (SUMIF('Анализ'!$D$4:'Анализ'!$D9, "DIS &amp; DEV", 'Анализ'!F$4:'Анализ'!F9) 
* ($D$14 / ($D$14+$H$14))),0)</f>
        <v>95</v>
      </c>
      <c r="F4" s="17">
        <f>ROUNDUP(
SUMIF('Анализ'!$D$4:'Анализ'!$D9, "DISCOVERY", 'Анализ'!G$4:'Анализ'!G9) 
+ (SUMIF('Анализ'!$D$4:'Анализ'!$D9, "SPREAD", 'Анализ'!G$4:'Анализ'!G9) 
* ($D$14 / ($D$14+$H$14+$L$14)))
+ (SUMIF('Анализ'!$D$4:'Анализ'!$D9, "DIS &amp; DEV", 'Анализ'!G$4:'Анализ'!G9) 
* ($D$14 / ($D$14+$H$14))),0)</f>
        <v>3237</v>
      </c>
      <c r="G4" s="17">
        <f>ROUNDUP(
SUMIF('Анализ'!$D$4:'Анализ'!$D9, "DISCOVERY", 'Анализ'!H$4:'Анализ'!H9) 
+ (SUMIF('Анализ'!$D$4:'Анализ'!$D9, "SPREAD", 'Анализ'!H$4:'Анализ'!H9) 
* ($D$14 / ($D$14+$H$14+$L$14)))
+ (SUMIF('Анализ'!$D$4:'Анализ'!$D9, "DIS &amp; DEV", 'Анализ'!H$4:'Анализ'!H9) 
* ($D$14 / ($D$14+$H$14))),0)</f>
        <v>3962</v>
      </c>
      <c r="H4" s="18">
        <f>ROUNDUP(
SUMIF('Анализ'!$D$4:'Анализ'!$D9, "DEVELOPMENT", 'Анализ'!E$4:'Анализ'!E9) 
+ (SUMIF('Анализ'!$D$4:'Анализ'!$D9, "SPREAD", 'Анализ'!E$4:'Анализ'!E9) 
* ($H$14 / ($D$14+$H$14+$L$14)))
+ (SUMIF('Анализ'!$D$4:'Анализ'!$D9, "DIS &amp; DEV", 'Анализ'!E$4:'Анализ'!E9) 
* ($H$14 / ($D$14+$H$14)))
+ (SUMIF('Анализ'!$D$4:'Анализ'!$D9, "DEV &amp; DEL", 'Анализ'!E$4:'Анализ'!E9) 
* ($H$14 / ($L$14+$H$14))),0)</f>
        <v>38</v>
      </c>
      <c r="I4" s="18">
        <f>ROUNDUP(
SUMIF('Анализ'!$D$4:'Анализ'!$D9, "DEVELOPMENT", 'Анализ'!F$4:'Анализ'!F9) 
+ (SUMIF('Анализ'!$D$4:'Анализ'!$D9, "SPREAD", 'Анализ'!F$4:'Анализ'!F9) 
* ($H$14 / ($D$14+$H$14+$L$14)))
+ (SUMIF('Анализ'!$D$4:'Анализ'!$D9, "DIS &amp; DEV", 'Анализ'!F$4:'Анализ'!F9) 
* ($H$14 / ($D$14+$H$14)))
+ (SUMIF('Анализ'!$D$4:'Анализ'!$D9, "DEV &amp; DEL", 'Анализ'!F$4:'Анализ'!F9) 
* ($H$14 / ($L$14+$H$14))),0)</f>
        <v>50</v>
      </c>
      <c r="J4" s="19">
        <f>ROUNDUP(
SUMIF('Анализ'!$D$4:'Анализ'!$D9, "DEVELOPMENT", 'Анализ'!G$4:'Анализ'!G9) 
+ (SUMIF('Анализ'!$D$4:'Анализ'!$D9, "SPREAD", 'Анализ'!G$4:'Анализ'!G9) 
* ($H$14 / ($D$14+$H$14+$L$14)))
+ (SUMIF('Анализ'!$D$4:'Анализ'!$D9, "DIS &amp; DEV", 'Анализ'!G$4:'Анализ'!G9) 
* ($H$14 / ($D$14+$H$14)))
+ (SUMIF('Анализ'!$D$4:'Анализ'!$D9, "DEV &amp; DEL", 'Анализ'!G$4:'Анализ'!G9) 
* ($H$14 / ($L$14+$H$14))),0)</f>
        <v>1588</v>
      </c>
      <c r="K4" s="19">
        <f>ROUNDUP(
SUMIF('Анализ'!$D$4:'Анализ'!$D9, "DEVELOPMENT", 'Анализ'!H$4:'Анализ'!H9) 
+ (SUMIF('Анализ'!$D$4:'Анализ'!$D9, "SPREAD", 'Анализ'!H$4:'Анализ'!H9) 
* ($H$14 / ($D$14+$H$14+$L$14)))
+ (SUMIF('Анализ'!$D$4:'Анализ'!$D9, "DIS &amp; DEV", 'Анализ'!H$4:'Анализ'!H9) 
* ($H$14 / ($D$14+$H$14)))
+ (SUMIF('Анализ'!$D$4:'Анализ'!$D9, "DEV &amp; DEL", 'Анализ'!H$4:'Анализ'!H9) 
* ($H$14 / ($L$14+$H$14))),0)</f>
        <v>2082</v>
      </c>
      <c r="L4" s="20">
        <f>ROUNDUP(
SUMIF('Анализ'!$D$4:'Анализ'!$D9, "DELIVERY", 'Анализ'!E$4:'Анализ'!E9) 
+ (SUMIF('Анализ'!$D$4:'Анализ'!$D9, "SPREAD", 'Анализ'!E$4:'Анализ'!E9) 
* ($L$14 / ($D$14+$H$14+$L$14)))
+ (SUMIF('Анализ'!$D$4:'Анализ'!$D9, "DEV &amp; DEL", 'Анализ'!E$4:'Анализ'!E9) 
* ($L$14 / ($L$14+$H$14))),0)</f>
        <v>4</v>
      </c>
      <c r="M4" s="20">
        <f>ROUNDUP(
SUMIF('Анализ'!$D$4:'Анализ'!$D9, "DELIVERY", 'Анализ'!F$4:'Анализ'!F9) 
+ (SUMIF('Анализ'!$D$4:'Анализ'!$D9, "SPREAD", 'Анализ'!F$4:'Анализ'!F9) 
* ($L$14 / ($D$14+$H$14+$L$14)))
+ (SUMIF('Анализ'!$D$4:'Анализ'!$D9, "DEV &amp; DEL", 'Анализ'!F$4:'Анализ'!F9) 
* ($L$14 / ($L$14+$H$14))),0)</f>
        <v>5</v>
      </c>
      <c r="N4" s="21">
        <f>ROUNDUP(
SUMIF('Анализ'!$D$4:'Анализ'!$D9, "DELIVERY", 'Анализ'!G$4:'Анализ'!G9) 
+ (SUMIF('Анализ'!$D$4:'Анализ'!$D9, "SPREAD", 'Анализ'!G$4:'Анализ'!G9) 
* ($L$14 / ($D$14+$H$14+$L$14)))
+ (SUMIF('Анализ'!$D$4:'Анализ'!$D9, "DEV &amp; DEL", 'Анализ'!G$4:'Анализ'!G9) 
* ($L$14 / ($L$14+$H$14))),0)</f>
        <v>133</v>
      </c>
      <c r="O4" s="21">
        <f>ROUNDUP(
SUMIF('Анализ'!$D$4:'Анализ'!$D9, "DELIVERY", 'Анализ'!H$4:'Анализ'!H9) 
+ (SUMIF('Анализ'!$D$4:'Анализ'!$D9, "SPREAD", 'Анализ'!H$4:'Анализ'!H9) 
* ($L$14 / ($D$14+$H$14+$L$14)))
+ (SUMIF('Анализ'!$D$4:'Анализ'!$D9, "DEV &amp; DEL", 'Анализ'!H$4:'Анализ'!H9) 
* ($L$14 / ($L$14+$H$14))),0)</f>
        <v>174</v>
      </c>
    </row>
    <row r="5">
      <c r="A5" s="22" t="s">
        <v>14</v>
      </c>
      <c r="B5" s="14" t="s">
        <v>15</v>
      </c>
      <c r="C5" s="15">
        <v>1.0</v>
      </c>
      <c r="D5" s="16">
        <f>ROUNDUP(
SUMIF('Дизайн'!$D$4:'Дизайн'!$D26, "DISCOVERY", 'Дизайн'!E$4:'Дизайн'!E26) 
+ (SUMIF('Дизайн'!$D$4:'Дизайн'!$D26, "SPREAD", 'Дизайн'!E$4:'Дизайн'!E26) 
* ($D$14 / ($D$14+$H$14+$L$14)))
+ (SUMIF('Дизайн'!$D$4:'Дизайн'!$D26, "DIS &amp; DEV", 'Дизайн'!E$4:'Дизайн'!E26) 
* ($D$14 / ($D$14+$H$14))),0)</f>
        <v>77</v>
      </c>
      <c r="E5" s="16">
        <f>ROUNDUP(
SUMIF('Дизайн'!$D$4:'Дизайн'!$D26, "DISCOVERY", 'Дизайн'!F$4:'Дизайн'!F26) 
+ (SUMIF('Дизайн'!$D$4:'Дизайн'!$D26, "SPREAD", 'Дизайн'!F$4:'Дизайн'!F26) 
* ($D$14 / ($D$14+$H$14+$L$14)))
+ (SUMIF('Дизайн'!$D$4:'Дизайн'!$D26, "DIS &amp; DEV", 'Дизайн'!F$4:'Дизайн'!F26) 
* ($D$14 / ($D$14+$H$14))),0)</f>
        <v>108</v>
      </c>
      <c r="F5" s="17">
        <f>ROUNDUP(
SUMIF('Дизайн'!$D$4:'Дизайн'!$D26, "DISCOVERY", 'Дизайн'!G$4:'Дизайн'!G26) 
+ (SUMIF('Дизайн'!$D$4:'Дизайн'!$D26, "SPREAD", 'Дизайн'!G$4:'Дизайн'!G26) 
* ($D$14 / ($D$14+$H$14+$L$14)))
+ (SUMIF('Дизайн'!$D$4:'Дизайн'!$D26, "DIS &amp; DEV", 'Дизайн'!G$4:'Дизайн'!G26) 
* ($D$14 / ($D$14+$H$14))),0)</f>
        <v>3450</v>
      </c>
      <c r="G5" s="17">
        <f>ROUNDUP(
SUMIF('Дизайн'!$D$4:'Дизайн'!$D26, "DISCOVERY", 'Дизайн'!H$4:'Дизайн'!H26) 
+ (SUMIF('Дизайн'!$D$4:'Дизайн'!$D26, "SPREAD", 'Дизайн'!H$4:'Дизайн'!H26) 
* ($D$14 / ($D$14+$H$14+$L$14)))
+ (SUMIF('Дизайн'!$D$4:'Дизайн'!$D26, "DIS &amp; DEV", 'Дизайн'!H$4:'Дизайн'!H26) 
* ($D$14 / ($D$14+$H$14))),0)</f>
        <v>4830</v>
      </c>
      <c r="H5" s="18">
        <f>ROUNDUP(
SUMIF('Дизайн'!$D$4:'Дизайн'!$D26, "DEVELOPMENT", 'Дизайн'!E$4:'Дизайн'!E26) 
+ (SUMIF('Дизайн'!$D$4:'Дизайн'!$D26, "SPREAD", 'Дизайн'!E$4:'Дизайн'!E26) 
* ($H$14 / ($D$14+$H$14+$L$14)))
+ (SUMIF('Дизайн'!$D$4:'Дизайн'!$D26, "DIS &amp; DEV", 'Дизайн'!E$4:'Дизайн'!E26) 
* ($H$14 / ($D$14+$H$14)))
+ (SUMIF('Дизайн'!$D$4:'Дизайн'!$D26, "DEV &amp; DEL", 'Дизайн'!E$4:'Дизайн'!E26) 
* ($H$14 / ($H$14+$L$14))),0)</f>
        <v>104</v>
      </c>
      <c r="I5" s="18">
        <f>ROUNDUP(
SUMIF('Дизайн'!$D$4:'Дизайн'!$D26, "DEVELOPMENT", 'Дизайн'!F$4:'Дизайн'!F26) 
+ (SUMIF('Дизайн'!$D$4:'Дизайн'!$D26, "SPREAD", 'Дизайн'!F$4:'Дизайн'!F26) 
* ($H$14 / ($D$14+$H$14+$L$14)))
+ (SUMIF('Дизайн'!$D$4:'Дизайн'!$D26, "DIS &amp; DEV", 'Дизайн'!F$4:'Дизайн'!F26) 
* ($H$14 / ($D$14+$H$14)))
+ (SUMIF('Дизайн'!$D$4:'Дизайн'!$D26, "DEV &amp; DEL", 'Дизайн'!F$4:'Дизайн'!F26) 
* ($H$14 / ($H$14+$L$14))),0)</f>
        <v>135</v>
      </c>
      <c r="J5" s="19">
        <f>ROUNDUP(
SUMIF('Дизайн'!$D$4:'Дизайн'!$D26, "DEVELOPMENT", 'Дизайн'!G$4:'Дизайн'!G26) 
+ (SUMIF('Дизайн'!$D$4:'Дизайн'!$D26, "SPREAD", 'Дизайн'!G$4:'Дизайн'!G26) 
* ($H$14 / ($D$14+$H$14+$L$14)))
+ (SUMIF('Дизайн'!$D$4:'Дизайн'!$D26, "DIS &amp; DEV", 'Дизайн'!G$4:'Дизайн'!G26) 
* ($H$14 / ($D$14+$H$14)))
+ (SUMIF('Дизайн'!$D$4:'Дизайн'!$D26, "DEV &amp; DEL", 'Дизайн'!G$4:'Дизайн'!G26) 
* ($H$14 / ($H$14+$L$14))),0)</f>
        <v>4650</v>
      </c>
      <c r="K5" s="19">
        <f>ROUNDUP(
SUMIF('Дизайн'!$D$4:'Дизайн'!$D26, "DEVELOPMENT", 'Дизайн'!H$4:'Дизайн'!H26) 
+ (SUMIF('Дизайн'!$D$4:'Дизайн'!$D26, "SPREAD", 'Дизайн'!H$4:'Дизайн'!H26) 
* ($H$14 / ($D$14+$H$14+$L$14)))
+ (SUMIF('Дизайн'!$D$4:'Дизайн'!$D26, "DIS &amp; DEV", 'Дизайн'!H$4:'Дизайн'!H26) 
* ($H$14 / ($D$14+$H$14)))
+ (SUMIF('Дизайн'!$D$4:'Дизайн'!$D26, "DEV &amp; DEL", 'Дизайн'!H$4:'Дизайн'!H26) 
* ($H$14 / ($H$14+$L$14))),0)</f>
        <v>6060</v>
      </c>
      <c r="L5" s="20">
        <f>ROUNDUP(
SUMIF('Дизайн'!$D$4:'Дизайн'!$D26, "DELIVERY", 'Дизайн'!E$4:'Дизайн'!E26) 
+ (SUMIF('Дизайн'!$D$4:'Дизайн'!$D26, "SPREAD", 'Дизайн'!E$4:'Дизайн'!E26) 
* ($L$14 / ($D$14+$H$14+$L$14)))
+ (SUMIF('Дизайн'!$D$4:'Дизайн'!$D26, "DEV &amp; DEL", 'Дизайн'!E$4:'Дизайн'!E26) 
* ($L$14 / ($H$14+$L$14))),0)</f>
        <v>0</v>
      </c>
      <c r="M5" s="20">
        <f>ROUNDUP(
SUMIF('Дизайн'!$D$4:'Дизайн'!$D26, "DELIVERY", 'Дизайн'!F$4:'Дизайн'!F26) 
+ (SUMIF('Дизайн'!$D$4:'Дизайн'!$D26, "SPREAD", 'Дизайн'!F$4:'Дизайн'!F26) 
* ($L$14 / ($D$14+$H$14+$L$14)))
+ (SUMIF('Дизайн'!$D$4:'Дизайн'!$D26, "DEV &amp; DEL", 'Дизайн'!F$4:'Дизайн'!F26) 
* ($L$14 / ($H$14+$L$14))),0)</f>
        <v>0</v>
      </c>
      <c r="N5" s="21">
        <f>ROUNDUP(
SUMIF('Дизайн'!$D$4:'Дизайн'!$D26, "DELIVERY", 'Дизайн'!G$4:'Дизайн'!G26) 
+ (SUMIF('Дизайн'!$D$4:'Дизайн'!$D26, "SPREAD", 'Дизайн'!G$4:'Дизайн'!G26) 
* ($L$14 / ($D$14+$H$14+$L$14)))
+ (SUMIF('Дизайн'!$D$4:'Дизайн'!$D26, "DEV &amp; DEL", 'Дизайн'!G$4:'Дизайн'!G26) 
* ($L$14 / ($H$14+$L$14))),0)</f>
        <v>0</v>
      </c>
      <c r="O5" s="21">
        <f>ROUNDUP(
SUMIF('Дизайн'!$D$4:'Дизайн'!$D26, "DELIVERY", 'Дизайн'!H$4:'Дизайн'!H26) 
+ (SUMIF('Дизайн'!$D$4:'Дизайн'!$D26, "SPREAD", 'Дизайн'!H$4:'Дизайн'!H26) 
* ($L$14 / ($D$14+$H$14+$L$14)))
+ (SUMIF('Дизайн'!$D$4:'Дизайн'!$D26, "DEV &amp; DEL", 'Дизайн'!H$4:'Дизайн'!H26) 
* ($L$14 / ($H$14+$L$14))),0)</f>
        <v>0</v>
      </c>
    </row>
    <row r="6">
      <c r="A6" s="23" t="s">
        <v>16</v>
      </c>
      <c r="B6" s="14" t="s">
        <v>17</v>
      </c>
      <c r="C6" s="15">
        <v>2.0</v>
      </c>
      <c r="D6" s="16">
        <f>ROUNDUP(
SUMIF('Фронтенд'!$D$4:'Фронтенд'!$D30, "DISCOVERY", 'Фронтенд'!E$4:'Фронтенд'!E30) 
+ (SUMIF('Фронтенд'!$D$4:'Фронтенд'!$D30, "SPREAD", 'Фронтенд'!E$4:'Фронтенд'!E30) 
* ($D$14 / ($D$14+$H$14+$L$14)))
+ (SUMIF('Фронтенд'!$D$4:'Фронтенд'!$D30, "DIS &amp; DEV", 'Фронтенд'!E$4:'Фронтенд'!E30) 
* ($D$14 / ($D$14+$H$14))),0)</f>
        <v>4</v>
      </c>
      <c r="E6" s="16">
        <f>ROUNDUP(
SUMIF('Фронтенд'!$D$4:'Фронтенд'!$D30, "DISCOVERY", 'Фронтенд'!F$4:'Фронтенд'!F30) 
+ (SUMIF('Фронтенд'!$D$4:'Фронтенд'!$D30, "SPREAD", 'Фронтенд'!F$4:'Фронтенд'!F30) 
* ($D$14 / ($D$14+$H$14+$L$14)))
+ (SUMIF('Фронтенд'!$D$4:'Фронтенд'!$D30, "DIS &amp; DEV", 'Фронтенд'!F$4:'Фронтенд'!F30) 
* ($D$14 / ($D$14+$H$14))),0)</f>
        <v>6</v>
      </c>
      <c r="F6" s="17">
        <f>ROUNDUP(
SUMIF('Фронтенд'!$D$4:'Фронтенд'!$D30, "DISCOVERY", 'Фронтенд'!G$4:'Фронтенд'!G30) 
+ (SUMIF('Фронтенд'!$D$4:'Фронтенд'!$D30, "SPREAD", 'Фронтенд'!G$4:'Фронтенд'!G30) 
* ($D$14 / ($D$14+$H$14+$L$14)))
+ (SUMIF('Фронтенд'!$D$4:'Фронтенд'!$D30, "DIS &amp; DEV", 'Фронтенд'!G$4:'Фронтенд'!G30) 
* ($D$14 / ($D$14+$H$14))),0)</f>
        <v>200</v>
      </c>
      <c r="G6" s="17">
        <f>ROUNDUP(
SUMIF('Фронтенд'!$D$4:'Фронтенд'!$D30, "DISCOVERY", 'Фронтенд'!H$4:'Фронтенд'!H30) 
+ (SUMIF('Фронтенд'!$D$4:'Фронтенд'!$D30, "SPREAD", 'Фронтенд'!H$4:'Фронтенд'!H30) 
* ($D$14 / ($D$14+$H$14+$L$14)))
+ (SUMIF('Фронтенд'!$D$4:'Фронтенд'!$D30, "DIS &amp; DEV", 'Фронтенд'!H$4:'Фронтенд'!H30) 
* ($D$14 / ($D$14+$H$14))),0)</f>
        <v>300</v>
      </c>
      <c r="H6" s="18">
        <f>ROUNDUP(
SUMIF('Фронтенд'!$D$4:'Фронтенд'!$D30, "DEVELOPMENT", 'Фронтенд'!E$4:'Фронтенд'!E30) 
+ (SUMIF('Фронтенд'!$D$4:'Фронтенд'!$D30, "SPREAD", 'Фронтенд'!E$4:'Фронтенд'!E30) 
* ($H$14 / ($D$14+$H$14+$L$14)))
+ (SUMIF('Фронтенд'!$D$4:'Фронтенд'!$D30, "DIS &amp; DEV", 'Фронтенд'!E$4:'Фронтенд'!E30) 
* ($H$14 / ($D$14+$H$14)))
+ (SUMIF('Фронтенд'!$D$4:'Фронтенд'!$D30, "DEV &amp; DEL", 'Фронтенд'!E$4:'Фронтенд'!E30) 
* ($H$14 / ($H$14+$L$14))),0)</f>
        <v>729</v>
      </c>
      <c r="I6" s="18">
        <f>ROUNDUP(
SUMIF('Фронтенд'!$D$4:'Фронтенд'!$D30, "DEVELOPMENT", 'Фронтенд'!F$4:'Фронтенд'!F30) 
+ (SUMIF('Фронтенд'!$D$4:'Фронтенд'!$D30, "SPREAD", 'Фронтенд'!F$4:'Фронтенд'!F30) 
* ($H$14 / ($D$14+$H$14+$L$14)))
+ (SUMIF('Фронтенд'!$D$4:'Фронтенд'!$D30, "DIS &amp; DEV", 'Фронтенд'!F$4:'Фронтенд'!F30) 
* ($H$14 / ($D$14+$H$14)))
+ (SUMIF('Фронтенд'!$D$4:'Фронтенд'!$D30, "DEV &amp; DEL", 'Фронтенд'!F$4:'Фронтенд'!F30) 
* ($H$14 / ($H$14+$L$14))),0)</f>
        <v>870</v>
      </c>
      <c r="J6" s="19">
        <f>ROUNDUP(
SUMIF('Фронтенд'!$D$4:'Фронтенд'!$D30, "DEVELOPMENT", 'Фронтенд'!G$4:'Фронтенд'!G30) 
+ (SUMIF('Фронтенд'!$D$4:'Фронтенд'!$D30, "SPREAD", 'Фронтенд'!G$4:'Фронтенд'!G30) 
* ($H$14 / ($D$14+$H$14+$L$14)))
+ (SUMIF('Фронтенд'!$D$4:'Фронтенд'!$D30, "DIS &amp; DEV", 'Фронтенд'!G$4:'Фронтенд'!G30) 
* ($H$14 / ($D$14+$H$14)))
+ (SUMIF('Фронтенд'!$D$4:'Фронтенд'!$D30, "DEV &amp; DEL", 'Фронтенд'!G$4:'Фронтенд'!G30) 
* ($H$14 / ($H$14+$L$14))),0)</f>
        <v>36431</v>
      </c>
      <c r="K6" s="19">
        <f>ROUNDUP(
SUMIF('Фронтенд'!$D$4:'Фронтенд'!$D30, "DEVELOPMENT", 'Фронтенд'!H$4:'Фронтенд'!H30) 
+ (SUMIF('Фронтенд'!$D$4:'Фронтенд'!$D30, "SPREAD", 'Фронтенд'!H$4:'Фронтенд'!H30) 
* ($H$14 / ($D$14+$H$14+$L$14)))
+ (SUMIF('Фронтенд'!$D$4:'Фронтенд'!$D30, "DIS &amp; DEV", 'Фронтенд'!H$4:'Фронтенд'!H30) 
* ($H$14 / ($D$14+$H$14)))
+ (SUMIF('Фронтенд'!$D$4:'Фронтенд'!$D30, "DEV &amp; DEL", 'Фронтенд'!H$4:'Фронтенд'!H30) 
* ($H$14 / ($H$14+$L$14))),0)</f>
        <v>43500</v>
      </c>
      <c r="L6" s="20">
        <f>ROUNDUP(
SUMIF('Фронтенд'!$D$4:'Фронтенд'!$D30, "DELIVERY", 'Фронтенд'!E$4:'Фронтенд'!E30) 
+ (SUMIF('Фронтенд'!$D$4:'Фронтенд'!$D30, "SPREAD", 'Фронтенд'!E$4:'Фронтенд'!E30) 
* ($L$14 / ($D$14+$H$14+$L$14)))
+ (SUMIF('Фронтенд'!$D$4:'Фронтенд'!$D30, "DEV &amp; DEL", 'Фронтенд'!E$4:'Фронтенд'!E30) 
* ($L$14 / ($H$14+$L$14))),0)</f>
        <v>8</v>
      </c>
      <c r="M6" s="20">
        <f>ROUNDUP(
SUMIF('Фронтенд'!$D$4:'Фронтенд'!$D30, "DELIVERY", 'Фронтенд'!F$4:'Фронтенд'!F30) 
+ (SUMIF('Фронтенд'!$D$4:'Фронтенд'!$D30, "SPREAD", 'Фронтенд'!F$4:'Фронтенд'!F30) 
* ($L$14 / ($D$14+$H$14+$L$14)))
+ (SUMIF('Фронтенд'!$D$4:'Фронтенд'!$D30, "DEV &amp; DEL", 'Фронтенд'!F$4:'Фронтенд'!F30) 
* ($L$14 / ($H$14+$L$14))),0)</f>
        <v>8</v>
      </c>
      <c r="N6" s="21">
        <f>ROUNDUP(
SUMIF('Фронтенд'!$D$4:'Фронтенд'!$D30, "DELIVERY", 'Фронтенд'!G$4:'Фронтенд'!G30) 
+ (SUMIF('Фронтенд'!$D$4:'Фронтенд'!$D30, "SPREAD", 'Фронтенд'!G$4:'Фронтенд'!G30) 
* ($L$14 / ($D$14+$H$14+$L$14)))
+ (SUMIF('Фронтенд'!$D$4:'Фронтенд'!$D30, "DEV &amp; DEL", 'Фронтенд'!G$4:'Фронтенд'!G30) 
* ($L$14 / ($H$14+$L$14))),0)</f>
        <v>370</v>
      </c>
      <c r="O6" s="21">
        <f>ROUNDUP(
SUMIF('Фронтенд'!$D$4:'Фронтенд'!$D30, "DELIVERY", 'Фронтенд'!H$4:'Фронтенд'!H30) 
+ (SUMIF('Фронтенд'!$D$4:'Фронтенд'!$D30, "SPREAD", 'Фронтенд'!H$4:'Фронтенд'!H30) 
* ($L$14 / ($D$14+$H$14+$L$14)))
+ (SUMIF('Фронтенд'!$D$4:'Фронтенд'!$D30, "DEV &amp; DEL", 'Фронтенд'!H$4:'Фронтенд'!H30) 
* ($L$14 / ($H$14+$L$14))),0)</f>
        <v>400</v>
      </c>
    </row>
    <row r="7">
      <c r="A7" s="24" t="s">
        <v>18</v>
      </c>
      <c r="B7" s="14" t="s">
        <v>19</v>
      </c>
      <c r="C7" s="15">
        <v>2.0</v>
      </c>
      <c r="D7" s="16">
        <f>ROUNDUP(
SUMIF('Бэкенд'!$D$4:'Бэкенд'!$D24, "DISCOVERY", 'Бэкенд'!E$4:'Бэкенд'!E24) 
+ (SUMIF('Бэкенд'!$D$4:'Бэкенд'!$D24, "SPREAD", 'Бэкенд'!E$4:'Бэкенд'!E24) 
* ($D$14 / ($D$14+$H$14+$L$14)))
+ (SUMIF('Бэкенд'!$D$4:'Бэкенд'!$D24, "DIS &amp; DEV", 'Бэкенд'!E$4:'Бэкенд'!E24) 
* ($D$14 / ($D$14+$H$14))),0)</f>
        <v>10</v>
      </c>
      <c r="E7" s="16">
        <f>ROUNDUP(
SUMIF('Бэкенд'!$D$4:'Бэкенд'!$D24, "DISCOVERY", 'Бэкенд'!F$4:'Бэкенд'!F24) 
+ (SUMIF('Бэкенд'!$D$4:'Бэкенд'!$D24, "SPREAD", 'Бэкенд'!F$4:'Бэкенд'!F24) 
* ($D$14 / ($D$14+$H$14+$L$14)))
+ (SUMIF('Бэкенд'!$D$4:'Бэкенд'!$D24, "DIS &amp; DEV", 'Бэкенд'!F$4:'Бэкенд'!F24) 
* ($D$14 / ($D$14+$H$14))),0)</f>
        <v>16</v>
      </c>
      <c r="F7" s="17">
        <f>ROUNDUP(
SUMIF('Бэкенд'!$D$4:'Бэкенд'!$D24, "DISCOVERY", 'Бэкенд'!G$4:'Бэкенд'!G24) 
+ (SUMIF('Бэкенд'!$D$4:'Бэкенд'!$D24, "SPREAD", 'Бэкенд'!G$4:'Бэкенд'!G24) 
* ($D$14 / ($D$14+$H$14+$L$14)))
+ (SUMIF('Бэкенд'!$D$4:'Бэкенд'!$D24, "DIS &amp; DEV", 'Бэкенд'!G$4:'Бэкенд'!G24) 
* ($D$14 / ($D$14+$H$14))),0)</f>
        <v>550</v>
      </c>
      <c r="G7" s="17">
        <f>ROUNDUP(
SUMIF('Бэкенд'!$D$4:'Бэкенд'!$D24, "DISCOVERY", 'Бэкенд'!H$4:'Бэкенд'!H24) 
+ (SUMIF('Бэкенд'!$D$4:'Бэкенд'!$D24, "SPREAD", 'Бэкенд'!H$4:'Бэкенд'!H24) 
* ($D$14 / ($D$14+$H$14+$L$14)))
+ (SUMIF('Бэкенд'!$D$4:'Бэкенд'!$D24, "DIS &amp; DEV", 'Бэкенд'!H$4:'Бэкенд'!H24) 
* ($D$14 / ($D$14+$H$14))),0)</f>
        <v>880</v>
      </c>
      <c r="H7" s="18">
        <f>ROUNDUP(
SUMIF('Бэкенд'!$D$4:'Бэкенд'!$D24, "DEVELOPMENT", 'Бэкенд'!E$4:'Бэкенд'!E24) 
+ (SUMIF('Бэкенд'!$D$4:'Бэкенд'!$D24, "SPREAD", 'Бэкенд'!E$4:'Бэкенд'!E24) 
* ($H$14 / ($D$14+$H$14+$L$14)))
+ (SUMIF('Бэкенд'!$D$4:'Бэкенд'!$D24, "DIS &amp; DEV", 'Бэкенд'!E$4:'Бэкенд'!E24) 
* ($H$14 / ($D$14+$H$14)))
+ (SUMIF('Бэкенд'!$D$4:'Бэкенд'!$D24, "DEV &amp; DEL", 'Бэкенд'!E$4:'Бэкенд'!E24) 
* ($H$14 / ($H$14+$L$14))),0)</f>
        <v>962</v>
      </c>
      <c r="I7" s="18">
        <f>ROUNDUP(
SUMIF('Бэкенд'!$D$4:'Бэкенд'!$D24, "DEVELOPMENT", 'Бэкенд'!F$4:'Бэкенд'!F24) 
+ (SUMIF('Бэкенд'!$D$4:'Бэкенд'!$D24, "SPREAD", 'Бэкенд'!F$4:'Бэкенд'!F24) 
* ($H$14 / ($D$14+$H$14+$L$14)))
+ (SUMIF('Бэкенд'!$D$4:'Бэкенд'!$D24, "DIS &amp; DEV", 'Бэкенд'!F$4:'Бэкенд'!F24) 
* ($H$14 / ($D$14+$H$14)))
+ (SUMIF('Бэкенд'!$D$4:'Бэкенд'!$D24, "DEV &amp; DEL", 'Бэкенд'!F$4:'Бэкенд'!F24) 
* ($H$14 / ($H$14+$L$14))),0)</f>
        <v>1289</v>
      </c>
      <c r="J7" s="19">
        <f>ROUNDUP(
SUMIF('Бэкенд'!$D$4:'Бэкенд'!$D24, "DEVELOPMENT", 'Бэкенд'!G$4:'Бэкенд'!G24) 
+ (SUMIF('Бэкенд'!$D$4:'Бэкенд'!$D24, "SPREAD", 'Бэкенд'!G$4:'Бэкенд'!G24) 
* ($H$14 / ($D$14+$H$14+$L$14)))
+ (SUMIF('Бэкенд'!$D$4:'Бэкенд'!$D24, "DIS &amp; DEV", 'Бэкенд'!G$4:'Бэкенд'!G24) 
* ($H$14 / ($D$14+$H$14)))
+ (SUMIF('Бэкенд'!$D$4:'Бэкенд'!$D24, "DEV &amp; DEL", 'Бэкенд'!G$4:'Бэкенд'!G24) 
* ($H$14 / ($H$14+$L$14))),0)</f>
        <v>52889</v>
      </c>
      <c r="K7" s="19">
        <f>ROUNDUP(
SUMIF('Бэкенд'!$D$4:'Бэкенд'!$D24, "DEVELOPMENT", 'Бэкенд'!H$4:'Бэкенд'!H24) 
+ (SUMIF('Бэкенд'!$D$4:'Бэкенд'!$D24, "SPREAD", 'Бэкенд'!H$4:'Бэкенд'!H24) 
* ($H$14 / ($D$14+$H$14+$L$14)))
+ (SUMIF('Бэкенд'!$D$4:'Бэкенд'!$D24, "DIS &amp; DEV", 'Бэкенд'!H$4:'Бэкенд'!H24) 
* ($H$14 / ($D$14+$H$14)))
+ (SUMIF('Бэкенд'!$D$4:'Бэкенд'!$D24, "DEV &amp; DEL", 'Бэкенд'!H$4:'Бэкенд'!H24) 
* ($H$14 / ($H$14+$L$14))),0)</f>
        <v>70891</v>
      </c>
      <c r="L7" s="20">
        <f>ROUNDUP(
SUMIF('Бэкенд'!$D$4:'Бэкенд'!$D24, "DELIVERY", 'Бэкенд'!E$4:'Бэкенд'!E24) 
+ (SUMIF('Бэкенд'!$D$4:'Бэкенд'!$D24, "SPREAD", 'Бэкенд'!E$4:'Бэкенд'!E24) 
* ($L$14 / ($D$14+$H$14+$L$14)))
+ (SUMIF('Бэкенд'!$D$4:'Бэкенд'!$D24, "DEV &amp; DEL", 'Бэкенд'!E$4:'Бэкенд'!E24) 
* ($L$14 / ($H$14+$L$14))),0)</f>
        <v>10</v>
      </c>
      <c r="M7" s="20">
        <f>ROUNDUP(
SUMIF('Бэкенд'!$D$4:'Бэкенд'!$D24, "DELIVERY", 'Бэкенд'!F$4:'Бэкенд'!F24) 
+ (SUMIF('Бэкенд'!$D$4:'Бэкенд'!$D24, "SPREAD", 'Бэкенд'!F$4:'Бэкенд'!F24) 
* ($L$14 / ($D$14+$H$14+$L$14)))
+ (SUMIF('Бэкенд'!$D$4:'Бэкенд'!$D24, "DEV &amp; DEL", 'Бэкенд'!F$4:'Бэкенд'!F24) 
* ($L$14 / ($H$14+$L$14))),0)</f>
        <v>16</v>
      </c>
      <c r="N7" s="21">
        <f>ROUNDUP(
SUMIF('Бэкенд'!$D$4:'Бэкенд'!$D24, "DELIVERY", 'Бэкенд'!G$4:'Бэкенд'!G24) 
+ (SUMIF('Бэкенд'!$D$4:'Бэкенд'!$D24, "SPREAD", 'Бэкенд'!G$4:'Бэкенд'!G24) 
* ($L$14 / ($D$14+$H$14+$L$14)))
+ (SUMIF('Бэкенд'!$D$4:'Бэкенд'!$D24, "DEV &amp; DEL", 'Бэкенд'!G$4:'Бэкенд'!G24) 
* ($L$14 / ($H$14+$L$14))),0)</f>
        <v>517</v>
      </c>
      <c r="O7" s="21">
        <f>ROUNDUP(
SUMIF('Бэкенд'!$D$4:'Бэкенд'!$D24, "DELIVERY", 'Бэкенд'!H$4:'Бэкенд'!H24) 
+ (SUMIF('Бэкенд'!$D$4:'Бэкенд'!$D24, "SPREAD", 'Бэкенд'!H$4:'Бэкенд'!H24) 
* ($L$14 / ($D$14+$H$14+$L$14)))
+ (SUMIF('Бэкенд'!$D$4:'Бэкенд'!$D24, "DEV &amp; DEL", 'Бэкенд'!H$4:'Бэкенд'!H24) 
* ($L$14 / ($H$14+$L$14))),0)</f>
        <v>830</v>
      </c>
    </row>
    <row r="8">
      <c r="A8" s="25" t="s">
        <v>20</v>
      </c>
      <c r="B8" s="14" t="s">
        <v>21</v>
      </c>
      <c r="C8" s="15">
        <v>1.0</v>
      </c>
      <c r="D8" s="16">
        <f>ROUNDUP(
SUMIF('Смарт контракты'!$D$4:'Смарт контракты'!$D9, "DISCOVERY", 'Смарт контракты'!E$4:'Смарт контракты'!E9) 
+ (SUMIF('Смарт контракты'!$D$4:'Смарт контракты'!$D9, "SPREAD", 'Смарт контракты'!E$4:'Смарт контракты'!E9) 
* ($D$14 / ($D$14+$H$14+$L$14)))
+ (SUMIF('Смарт контракты'!$D$4:'Смарт контракты'!$D9, "DIS &amp; DEV", 'Смарт контракты'!E$4:'Смарт контракты'!E9) 
* ($D$14 / ($D$14+$H$14))),0)</f>
        <v>3</v>
      </c>
      <c r="E8" s="16">
        <f>ROUNDUP(
SUMIF('Смарт контракты'!$D$4:'Смарт контракты'!$D9, "DISCOVERY", 'Смарт контракты'!F$4:'Смарт контракты'!F9) 
+ (SUMIF('Смарт контракты'!$D$4:'Смарт контракты'!$D9, "SPREAD", 'Смарт контракты'!F$4:'Смарт контракты'!F9) 
* ($D$14 / ($D$14+$H$14+$L$14)))
+ (SUMIF('Смарт контракты'!$D$4:'Смарт контракты'!$D9, "DIS &amp; DEV", 'Смарт контракты'!F$4:'Смарт контракты'!F9) 
* ($D$14 / ($D$14+$H$14))),0)</f>
        <v>4</v>
      </c>
      <c r="F8" s="17">
        <f>ROUNDUP(
SUMIF('Смарт контракты'!$D$4:'Смарт контракты'!$D9, "DISCOVERY", 'Смарт контракты'!G$4:'Смарт контракты'!G9) 
+ (SUMIF('Смарт контракты'!$D$4:'Смарт контракты'!$D9, "SPREAD", 'Смарт контракты'!G$4:'Смарт контракты'!G9) 
* ($D$14 / ($D$14+$H$14+$L$14)))
+ (SUMIF('Смарт контракты'!$D$4:'Смарт контракты'!$D9, "DIS &amp; DEV", 'Смарт контракты'!G$4:'Смарт контракты'!G9) 
* ($D$14 / ($D$14+$H$14))),0)</f>
        <v>147</v>
      </c>
      <c r="G8" s="17">
        <f>ROUNDUP(
SUMIF('Смарт контракты'!$D$4:'Смарт контракты'!$D9, "DISCOVERY", 'Смарт контракты'!H$4:'Смарт контракты'!H9) 
+ (SUMIF('Смарт контракты'!$D$4:'Смарт контракты'!$D9, "SPREAD", 'Смарт контракты'!H$4:'Смарт контракты'!H9) 
* ($D$14 / ($D$14+$H$14+$L$14)))
+ (SUMIF('Смарт контракты'!$D$4:'Смарт контракты'!$D9, "DIS &amp; DEV", 'Смарт контракты'!H$4:'Смарт контракты'!H9) 
* ($D$14 / ($D$14+$H$14))),0)</f>
        <v>220</v>
      </c>
      <c r="H8" s="18">
        <f>ROUNDUP(
SUMIF('Смарт контракты'!$D$4:'Смарт контракты'!$D9, "DEVELOPMENT", 'Смарт контракты'!E$4:'Смарт контракты'!E9) 
+ (SUMIF('Смарт контракты'!$D$4:'Смарт контракты'!$D9, "SPREAD", 'Смарт контракты'!E$4:'Смарт контракты'!E9) 
* ($H$14 / ($D$14+$H$14+$L$14)))
+ (SUMIF('Смарт контракты'!$D$4:'Смарт контракты'!$D9, "DIS &amp; DEV", 'Смарт контракты'!E$4:'Смарт контракты'!E9) 
* ($H$14 / ($D$14+$H$14)))
+ (SUMIF('Смарт контракты'!$D$4:'Смарт контракты'!$D9, "DEV &amp; DEL", 'Смарт контракты'!E$4:'Смарт контракты'!E9) 
* ($H$14 / ($H$14+$L$14))),0)</f>
        <v>201</v>
      </c>
      <c r="I8" s="18">
        <f>ROUNDUP(
SUMIF('Смарт контракты'!$D$4:'Смарт контракты'!$D9, "DEVELOPMENT", 'Смарт контракты'!F$4:'Смарт контракты'!F9) 
+ (SUMIF('Смарт контракты'!$D$4:'Смарт контракты'!$D9, "SPREAD", 'Смарт контракты'!F$4:'Смарт контракты'!F9) 
* ($H$14 / ($D$14+$H$14+$L$14)))
+ (SUMIF('Смарт контракты'!$D$4:'Смарт контракты'!$D9, "DIS &amp; DEV", 'Смарт контракты'!F$4:'Смарт контракты'!F9) 
* ($H$14 / ($D$14+$H$14)))
+ (SUMIF('Смарт контракты'!$D$4:'Смарт контракты'!$D9, "DEV &amp; DEL", 'Смарт контракты'!F$4:'Смарт контракты'!F9) 
* ($H$14 / ($H$14+$L$14))),0)</f>
        <v>273</v>
      </c>
      <c r="J8" s="19">
        <f>ROUNDUP(
SUMIF('Смарт контракты'!$D$4:'Смарт контракты'!$D9, "DEVELOPMENT", 'Смарт контракты'!G$4:'Смарт контракты'!G9) 
+ (SUMIF('Смарт контракты'!$D$4:'Смарт контракты'!$D9, "SPREAD", 'Смарт контракты'!G$4:'Смарт контракты'!G9) 
* ($H$14 / ($D$14+$H$14+$L$14)))
+ (SUMIF('Смарт контракты'!$D$4:'Смарт контракты'!$D9, "DIS &amp; DEV", 'Смарт контракты'!G$4:'Смарт контракты'!G9) 
* ($H$14 / ($D$14+$H$14)))
+ (SUMIF('Смарт контракты'!$D$4:'Смарт контракты'!$D9, "DEV &amp; DEL", 'Смарт контракты'!G$4:'Смарт контракты'!G9) 
* ($H$14 / ($H$14+$L$14))),0)</f>
        <v>11023</v>
      </c>
      <c r="K8" s="19">
        <f>ROUNDUP(
SUMIF('Смарт контракты'!$D$4:'Смарт контракты'!$D9, "DEVELOPMENT", 'Смарт контракты'!H$4:'Смарт контракты'!H9) 
+ (SUMIF('Смарт контракты'!$D$4:'Смарт контракты'!$D9, "SPREAD", 'Смарт контракты'!H$4:'Смарт контракты'!H9) 
* ($H$14 / ($D$14+$H$14+$L$14)))
+ (SUMIF('Смарт контракты'!$D$4:'Смарт контракты'!$D9, "DIS &amp; DEV", 'Смарт контракты'!H$4:'Смарт контракты'!H9) 
* ($H$14 / ($D$14+$H$14)))
+ (SUMIF('Смарт контракты'!$D$4:'Смарт контракты'!$D9, "DEV &amp; DEL", 'Смарт контракты'!H$4:'Смарт контракты'!H9) 
* ($H$14 / ($H$14+$L$14))),0)</f>
        <v>14977</v>
      </c>
      <c r="L8" s="20">
        <f>ROUNDUP(
SUMIF('Смарт контракты'!$D$4:'Смарт контракты'!$D9, "DELIVERY", 'Смарт контракты'!E$4:'Смарт контракты'!E9) 
+ (SUMIF('Смарт контракты'!$D$4:'Смарт контракты'!$D9, "SPREAD", 'Смарт контракты'!E$4:'Смарт контракты'!E9) 
* ($L$14 / ($D$14+$H$14+$L$14)))
+ (SUMIF('Смарт контракты'!$D$4:'Смарт контракты'!$D9, "DEV &amp; DEL", 'Смарт контракты'!E$4:'Смарт контракты'!E9) 
* ($L$14 / ($H$14+$L$14))),0)</f>
        <v>3</v>
      </c>
      <c r="M8" s="20">
        <f>ROUNDUP(
SUMIF('Смарт контракты'!$D$4:'Смарт контракты'!$D9, "DELIVERY", 'Смарт контракты'!F$4:'Смарт контракты'!F9) 
+ (SUMIF('Смарт контракты'!$D$4:'Смарт контракты'!$D9, "SPREAD", 'Смарт контракты'!F$4:'Смарт контракты'!F9) 
* ($L$14 / ($D$14+$H$14+$L$14)))
+ (SUMIF('Смарт контракты'!$D$4:'Смарт контракты'!$D9, "DEV &amp; DEL", 'Смарт контракты'!F$4:'Смарт контракты'!F9) 
* ($L$14 / ($H$14+$L$14))),0)</f>
        <v>4</v>
      </c>
      <c r="N8" s="21">
        <f>ROUNDUP(
SUMIF('Смарт контракты'!$D$4:'Смарт контракты'!$D9, "DELIVERY", 'Смарт контракты'!G$4:'Смарт контракты'!G9) 
+ (SUMIF('Смарт контракты'!$D$4:'Смарт контракты'!$D9, "SPREAD", 'Смарт контракты'!G$4:'Смарт контракты'!G9) 
* ($L$14 / ($D$14+$H$14+$L$14)))
+ (SUMIF('Смарт контракты'!$D$4:'Смарт контракты'!$D9, "DEV &amp; DEL", 'Смарт контракты'!G$4:'Смарт контракты'!G9) 
* ($L$14 / ($H$14+$L$14))),0)</f>
        <v>161</v>
      </c>
      <c r="O8" s="21">
        <f>ROUNDUP(
SUMIF('Смарт контракты'!$D$4:'Смарт контракты'!$D9, "DELIVERY", 'Смарт контракты'!H$4:'Смарт контракты'!H9) 
+ (SUMIF('Смарт контракты'!$D$4:'Смарт контракты'!$D9, "SPREAD", 'Смарт контракты'!H$4:'Смарт контракты'!H9) 
* ($L$14 / ($D$14+$H$14+$L$14)))
+ (SUMIF('Смарт контракты'!$D$4:'Смарт контракты'!$D9, "DEV &amp; DEL", 'Смарт контракты'!H$4:'Смарт контракты'!H9) 
* ($L$14 / ($H$14+$L$14))),0)</f>
        <v>204</v>
      </c>
    </row>
    <row r="9">
      <c r="A9" s="26" t="s">
        <v>22</v>
      </c>
      <c r="B9" s="14" t="s">
        <v>23</v>
      </c>
      <c r="C9" s="15">
        <v>1.0</v>
      </c>
      <c r="D9" s="16">
        <f>ROUNDUP(
SUMIF(DevOps!$D$4:DevOps!$D9, "DISCOVERY", DevOps!E$4:DevOps!E9) 
+ (SUMIF(DevOps!$D$4:DevOps!$D9, "SPREAD", DevOps!E$4:DevOps!E9) 
* ($D$14 / ($D$14+$H$14+$L$14)))
+ (SUMIF(DevOps!$D$4:DevOps!$D9, "DIS &amp; DEV", DevOps!E$4:DevOps!E9) 
* ($D$14 / ($D$14+$H$14))),0)</f>
        <v>0</v>
      </c>
      <c r="E9" s="16">
        <f>ROUNDUP(
SUMIF(DevOps!$D$4:DevOps!$D9, "DISCOVERY", DevOps!F$4:DevOps!F9) 
+ (SUMIF(DevOps!$D$4:DevOps!$D9, "SPREAD", DevOps!F$4:DevOps!F9) 
* ($D$14 / ($D$14+$H$14+$L$14)))
+ (SUMIF(DevOps!$D$4:DevOps!$D9, "DIS &amp; DEV", DevOps!F$4:DevOps!F9) 
* ($D$14 / ($D$14+$H$14))),0)</f>
        <v>0</v>
      </c>
      <c r="F9" s="17">
        <f>ROUNDUP(
SUMIF(DevOps!$D$4:DevOps!$D9, "DISCOVERY", DevOps!G$4:DevOps!G9) 
+ (SUMIF(DevOps!$D$4:DevOps!$D9, "SPREAD", DevOps!G$4:DevOps!G9) 
* ($D$14 / ($D$14+$H$14+$L$14)))
+ (SUMIF(DevOps!$D$4:DevOps!$D9, "DIS &amp; DEV", DevOps!G$4:DevOps!G9) 
* ($D$14 / ($D$14+$H$14))),0)</f>
        <v>0</v>
      </c>
      <c r="G9" s="17">
        <f>ROUNDUP(
SUMIF(DevOps!$D$4:DevOps!$D9, "DISCOVERY", DevOps!H$4:DevOps!H9) 
+ (SUMIF(DevOps!$D$4:DevOps!$D9, "SPREAD", DevOps!H$4:DevOps!H9) 
* ($D$14 / ($D$14+$H$14+$L$14)))
+ (SUMIF(DevOps!$D$4:DevOps!$D9, "DIS &amp; DEV", DevOps!H$4:DevOps!H9) 
* ($D$14 / ($D$14+$H$14))),0)</f>
        <v>0</v>
      </c>
      <c r="H9" s="18">
        <f>ROUNDUP(
SUMIF(DevOps!$D$4:DevOps!$D9, "DEVELOPMENT", DevOps!E$4:DevOps!E9) 
+ (SUMIF(DevOps!$D$4:DevOps!$D9, "SPREAD", DevOps!E$4:DevOps!E9) 
* ($H$14 / ($D$14+$H$14+$L$14)))
+ (SUMIF(DevOps!$D$4:DevOps!$D9, "DIS &amp; DEV", DevOps!E$4:DevOps!E9) 
* ($H$14 / ($D$14+$H$14)))
+ (SUMIF(DevOps!$D$4:DevOps!$D9, "DEV &amp; DEL", DevOps!E$4:DevOps!E9) 
* ($H$14 / ($H$14+$L$14))),0)</f>
        <v>96</v>
      </c>
      <c r="I9" s="18">
        <f>ROUNDUP(
SUMIF(DevOps!$D$4:DevOps!$D9, "DEVELOPMENT", DevOps!F$4:DevOps!F9) 
+ (SUMIF(DevOps!$D$4:DevOps!$D9, "SPREAD", DevOps!F$4:DevOps!F9) 
* ($H$14 / ($D$14+$H$14+$L$14)))
+ (SUMIF(DevOps!$D$4:DevOps!$D9, "DIS &amp; DEV", DevOps!F$4:DevOps!F9) 
* ($H$14 / ($D$14+$H$14)))
+ (SUMIF(DevOps!$D$4:DevOps!$D9, "DEV &amp; DEL", DevOps!F$4:DevOps!F9) 
* ($H$14 / ($H$14+$L$14))),0)</f>
        <v>124</v>
      </c>
      <c r="J9" s="19">
        <f>ROUNDUP(
SUMIF(DevOps!$D$4:DevOps!$D9, "DEVELOPMENT", DevOps!G$4:DevOps!G9) 
+ (SUMIF(DevOps!$D$4:DevOps!$D9, "SPREAD", DevOps!G$4:DevOps!G9) 
* ($H$14 / ($D$14+$H$14+$L$14)))
+ (SUMIF(DevOps!$D$4:DevOps!$D9, "DIS &amp; DEV", DevOps!G$4:DevOps!G9) 
* ($H$14 / ($D$14+$H$14)))
+ (SUMIF(DevOps!$D$4:DevOps!$D9, "DEV &amp; DEL", DevOps!G$4:DevOps!G9) 
* ($H$14 / ($H$14+$L$14))),0)</f>
        <v>4320</v>
      </c>
      <c r="K9" s="19">
        <f>ROUNDUP(
SUMIF(DevOps!$D$4:DevOps!$D9, "DEVELOPMENT", DevOps!H$4:DevOps!H9) 
+ (SUMIF(DevOps!$D$4:DevOps!$D9, "SPREAD", DevOps!H$4:DevOps!H9) 
* ($H$14 / ($D$14+$H$14+$L$14)))
+ (SUMIF(DevOps!$D$4:DevOps!$D9, "DIS &amp; DEV", DevOps!H$4:DevOps!H9) 
* ($H$14 / ($D$14+$H$14)))
+ (SUMIF(DevOps!$D$4:DevOps!$D9, "DEV &amp; DEL", DevOps!H$4:DevOps!H9) 
* ($H$14 / ($H$14+$L$14))),0)</f>
        <v>5580</v>
      </c>
      <c r="L9" s="20">
        <f>ROUNDUP(
SUMIF(DevOps!$D$4:DevOps!$D9, "DELIVERY", DevOps!E$4:DevOps!E9) 
+ (SUMIF(DevOps!$D$4:DevOps!$D9, "SPREAD", DevOps!E$4:DevOps!E9) 
* ($L$14 / ($D$14+$H$14+$L$14)))
+ (SUMIF(DevOps!$D$4:DevOps!$D9, "DEV &amp; DEL", DevOps!E$4:DevOps!E9) 
* ($H$14 / ($H$14+$L$14))),0)</f>
        <v>6</v>
      </c>
      <c r="M9" s="20">
        <f>ROUNDUP(
SUMIF(DevOps!$D$4:DevOps!$D9, "DELIVERY", DevOps!F$4:DevOps!F9) 
+ (SUMIF(DevOps!$D$4:DevOps!$D9, "SPREAD", DevOps!F$4:DevOps!F9) 
* ($L$14 / ($D$14+$H$14+$L$14)))
+ (SUMIF(DevOps!$D$4:DevOps!$D9, "DEV &amp; DEL", DevOps!F$4:DevOps!F9) 
* ($H$14 / ($H$14+$L$14))),0)</f>
        <v>8</v>
      </c>
      <c r="N9" s="21">
        <f>ROUNDUP(
SUMIF(DevOps!$D$4:DevOps!$D9, "DELIVERY", DevOps!G$4:DevOps!G9) 
+ (SUMIF(DevOps!$D$4:DevOps!$D9, "SPREAD", DevOps!G$4:DevOps!G9) 
* ($L$14 / ($D$14+$H$14+$L$14)))
+ (SUMIF(DevOps!$D$4:DevOps!$D9, "DEV &amp; DEL", DevOps!G$4:DevOps!G9) 
* ($H$14 / ($H$14+$L$14))),0)</f>
        <v>270</v>
      </c>
      <c r="O9" s="21">
        <f>ROUNDUP(
SUMIF(DevOps!$D$4:DevOps!$D9, "DELIVERY", DevOps!H$4:DevOps!H9) 
+ (SUMIF(DevOps!$D$4:DevOps!$D9, "SPREAD", DevOps!H$4:DevOps!H9) 
* ($L$14 / ($D$14+$H$14+$L$14)))
+ (SUMIF(DevOps!$D$4:DevOps!$D9, "DEV &amp; DEL", DevOps!H$4:DevOps!H9) 
* ($H$14 / ($H$14+$L$14))),0)</f>
        <v>360</v>
      </c>
    </row>
    <row r="10">
      <c r="A10" s="27" t="s">
        <v>24</v>
      </c>
      <c r="B10" s="14" t="s">
        <v>25</v>
      </c>
      <c r="C10" s="15">
        <v>1.0</v>
      </c>
      <c r="D10" s="16">
        <f>ROUNDUP(
SUMIF(QA!$D$4:QA!$D9, "DISCOVERY", QA!E$4:QA!E9) 
+ (SUMIF(QA!$D$4:QA!$D9, "SPREAD", QA!E$4:QA!E9) 
* ($D$14 / ($D$14+$H$14+$L$14)))
+ (SUMIF(QA!$D$4:QA!$D9, "DIS &amp; DEV", QA!E$4:QA!E9) 
* ($D$14 / ($D$14+$H$14))),0)</f>
        <v>77</v>
      </c>
      <c r="E10" s="16">
        <f>ROUNDUP(
SUMIF(QA!$D$4:QA!$D9, "DISCOVERY", QA!F$4:QA!F9) 
+ (SUMIF(QA!$D$4:QA!$D9, "SPREAD", QA!F$4:QA!F9) 
* ($D$14 / ($D$14+$H$14+$L$14)))
+ (SUMIF(QA!$D$4:QA!$D9, "DIS &amp; DEV", QA!F$4:QA!F9) 
* ($D$14 / ($D$14+$H$14))),0)</f>
        <v>92</v>
      </c>
      <c r="F10" s="17">
        <f>ROUNDUP(
SUMIF(QA!$D$4:QA!$D9, "DISCOVERY", QA!G$4:QA!G9) 
+ (SUMIF(QA!$D$4:QA!$D9, "SPREAD", QA!G$4:QA!G9) 
* ($D$14 / ($D$14+$H$14+$L$14)))
+ (SUMIF(QA!$D$4:QA!$D9, "DIS &amp; DEV", QA!G$4:QA!G9) 
* ($D$14 / ($D$14+$H$14))),0)</f>
        <v>3450</v>
      </c>
      <c r="G10" s="17">
        <f>ROUNDUP(
SUMIF(QA!$D$4:QA!$D9, "DISCOVERY", QA!H$4:QA!H9) 
+ (SUMIF(QA!$D$4:QA!$D9, "SPREAD", QA!H$4:QA!H9) 
* ($D$14 / ($D$14+$H$14+$L$14)))
+ (SUMIF(QA!$D$4:QA!$D9, "DIS &amp; DEV", QA!H$4:QA!H9) 
* ($D$14 / ($D$14+$H$14))),0)</f>
        <v>4110</v>
      </c>
      <c r="H10" s="18">
        <f>ROUNDUP(
SUMIF(QA!$D$4:QA!$D9, "DEVELOPMENT", QA!E$4:QA!E9) 
+ (SUMIF(QA!$D$4:QA!$D9, "SPREAD", QA!E$4:QA!E9) 
* ($H$14 / ($D$14+$H$14+$L$14)))
+ (SUMIF(QA!$D$4:QA!$D9, "DIS &amp; DEV", QA!E$4:QA!E9) 
* ($H$14 / ($D$14+$H$14)))
+ (SUMIF(QA!$D$4:QA!$D9, "DEV &amp; DEL", QA!E$4:QA!E9) 
* ($H$14 / ($H$14+$L$14))),0)</f>
        <v>600</v>
      </c>
      <c r="I10" s="18">
        <f>ROUNDUP(
SUMIF(QA!$D$4:QA!$D9, "DEVELOPMENT", QA!F$4:QA!F9) 
+ (SUMIF(QA!$D$4:QA!$D9, "SPREAD", QA!F$4:QA!F9) 
* ($H$14 / ($D$14+$H$14+$L$14)))
+ (SUMIF(QA!$D$4:QA!$D9, "DIS &amp; DEV", QA!F$4:QA!F9) 
* ($H$14 / ($D$14+$H$14)))
+ (SUMIF(QA!$D$4:QA!$D9, "DEV &amp; DEL", QA!F$4:QA!F9) 
* ($H$14 / ($H$14+$L$14))),0)</f>
        <v>729</v>
      </c>
      <c r="J10" s="19">
        <f>ROUNDUP(
SUMIF(QA!$D$4:QA!$D9, "DEVELOPMENT", QA!G$4:QA!G9) 
+ (SUMIF(QA!$D$4:QA!$D9, "SPREAD", QA!G$4:QA!G9) 
* ($H$14 / ($D$14+$H$14+$L$14)))
+ (SUMIF(QA!$D$4:QA!$D9, "DIS &amp; DEV", QA!G$4:QA!G9) 
* ($H$14 / ($D$14+$H$14)))
+ (SUMIF(QA!$D$4:QA!$D9, "DEV &amp; DEL", QA!G$4:QA!G9) 
* ($H$14 / ($H$14+$L$14))),0)</f>
        <v>26964</v>
      </c>
      <c r="K10" s="19">
        <f>ROUNDUP(
SUMIF(QA!$D$4:QA!$D9, "DEVELOPMENT", QA!H$4:QA!H9) 
+ (SUMIF(QA!$D$4:QA!$D9, "SPREAD", QA!H$4:QA!H9) 
* ($H$14 / ($D$14+$H$14+$L$14)))
+ (SUMIF(QA!$D$4:QA!$D9, "DIS &amp; DEV", QA!H$4:QA!H9) 
* ($H$14 / ($D$14+$H$14)))
+ (SUMIF(QA!$D$4:QA!$D9, "DEV &amp; DEL", QA!H$4:QA!H9) 
* ($H$14 / ($H$14+$L$14))),0)</f>
        <v>32770</v>
      </c>
      <c r="L10" s="20">
        <f>ROUNDUP(
SUMIF(QA!$D$4:QA!$D9, "DELIVERY", QA!E$4:QA!E9) 
+ (SUMIF(QA!$D$4:QA!$D9, "SPREAD", QA!E$4:QA!E9) 
* ($L$14 / ($D$14+$H$14+$L$14)))
+ (SUMIF(QA!$D$4:QA!$D9, "DEV &amp; DEL", QA!E$4:QA!E9) 
* ($L$14 / ($H$14+$L$14))),0)</f>
        <v>47</v>
      </c>
      <c r="M10" s="20">
        <f>ROUNDUP(
SUMIF(QA!$D$4:QA!$D9, "DELIVERY", QA!F$4:QA!F9) 
+ (SUMIF(QA!$D$4:QA!$D9, "SPREAD", QA!F$4:QA!F9) 
* ($L$14 / ($D$14+$H$14+$L$14)))
+ (SUMIF(QA!$D$4:QA!$D9, "DEV &amp; DEL", QA!F$4:QA!F9) 
* ($L$14 / ($H$14+$L$14))),0)</f>
        <v>57</v>
      </c>
      <c r="N10" s="21">
        <f>ROUNDUP(
SUMIF(QA!$D$4:QA!$D9, "DELIVERY", QA!G$4:QA!G9) 
+ (SUMIF(QA!$D$4:QA!$D9, "SPREAD", QA!G$4:QA!G9) 
* ($L$14 / ($D$14+$H$14+$L$14)))
+ (SUMIF(QA!$D$4:QA!$D9, "DEV &amp; DEL", QA!G$4:QA!G9) 
* ($L$14 / ($H$14+$L$14))),0)</f>
        <v>2077</v>
      </c>
      <c r="O10" s="21">
        <f>ROUNDUP(
SUMIF(QA!$D$4:QA!$D9, "DELIVERY", QA!H$4:QA!H9) 
+ (SUMIF(QA!$D$4:QA!$D9, "SPREAD", QA!H$4:QA!H9) 
* ($L$14 / ($D$14+$H$14+$L$14)))
+ (SUMIF(QA!$D$4:QA!$D9, "DEV &amp; DEL", QA!H$4:QA!H9) 
* ($L$14 / ($H$14+$L$14))),0)</f>
        <v>2541</v>
      </c>
    </row>
    <row r="11">
      <c r="A11" s="28" t="s">
        <v>26</v>
      </c>
      <c r="B11" s="14" t="s">
        <v>27</v>
      </c>
      <c r="C11" s="15">
        <v>1.0</v>
      </c>
      <c r="D11" s="16">
        <f>ROUNDUP(
SUMIF('Менеджмент'!$D$4:'Менеджмент'!$D10, "DISCOVERY", 'Менеджмент'!E$4:'Менеджмент'!E10) 
+ (SUMIF('Менеджмент'!$D$4:'Менеджмент'!$D10, "SPREAD", 'Менеджмент'!E$4:'Менеджмент'!E10) 
* ($D$14 / ($D$14+$H$14+$L$14)))
+ (SUMIF('Менеджмент'!$D$4:'Менеджмент'!$D10, "DIS &amp; DEV", 'Менеджмент'!E$4:'Менеджмент'!E10) 
* ($D$14 / ($D$14+$H$14))),0)</f>
        <v>118</v>
      </c>
      <c r="E11" s="16">
        <f>ROUNDUP(
SUMIF('Менеджмент'!$D$4:'Менеджмент'!$D10, "DISCOVERY", 'Менеджмент'!F$4:'Менеджмент'!F10) 
+ (SUMIF('Менеджмент'!$D$4:'Менеджмент'!$D10, "SPREAD", 'Менеджмент'!F$4:'Менеджмент'!F10) 
* ($D$14 / ($D$14+$H$14+$L$14)))
+ (SUMIF('Менеджмент'!$D$4:'Менеджмент'!$D10, "DIS &amp; DEV", 'Менеджмент'!F$4:'Менеджмент'!F10) 
* ($D$14 / ($D$14+$H$14))),0)</f>
        <v>134</v>
      </c>
      <c r="F11" s="17">
        <f>ROUNDUP(
SUMIF('Менеджмент'!$D$4:'Менеджмент'!$D10, "DISCOVERY", 'Менеджмент'!G$4:'Менеджмент'!G10) 
+ (SUMIF('Менеджмент'!$D$4:'Менеджмент'!$D10, "SPREAD", 'Менеджмент'!G$4:'Менеджмент'!G10) 
* ($D$14 / ($D$14+$H$14+$L$14)))
+ (SUMIF('Менеджмент'!$D$4:'Менеджмент'!$D10, "DIS &amp; DEV", 'Менеджмент'!G$4:'Менеджмент'!G10) 
* ($D$14 / ($D$14+$H$14))),0)</f>
        <v>5296</v>
      </c>
      <c r="G11" s="17">
        <f>ROUNDUP(
SUMIF('Менеджмент'!$D$4:'Менеджмент'!$D10, "DISCOVERY", 'Менеджмент'!H$4:'Менеджмент'!H10) 
+ (SUMIF('Менеджмент'!$D$4:'Менеджмент'!$D10, "SPREAD", 'Менеджмент'!H$4:'Менеджмент'!H10) 
* ($D$14 / ($D$14+$H$14+$L$14)))
+ (SUMIF('Менеджмент'!$D$4:'Менеджмент'!$D10, "DIS &amp; DEV", 'Менеджмент'!H$4:'Менеджмент'!H10) 
* ($D$14 / ($D$14+$H$14))),0)</f>
        <v>5994</v>
      </c>
      <c r="H11" s="18">
        <f>ROUNDUP(
SUMIF('Менеджмент'!$D$4:'Менеджмент'!$D10, "DEVELOPMENT", 'Менеджмент'!E$4:'Менеджмент'!E10) 
+ (SUMIF('Менеджмент'!$D$4:'Менеджмент'!$D10, "SPREAD", 'Менеджмент'!E$4:'Менеджмент'!E10) 
* ($H$14 / ($D$14+$H$14+$L$14)))
+ (SUMIF('Менеджмент'!$D$4:'Менеджмент'!$D10, "DIS &amp; DEV", 'Менеджмент'!E$4:'Менеджмент'!E10) 
* ($H$14 / ($D$14+$H$14)))
+ (SUMIF('Менеджмент'!$D$4:'Менеджмент'!$D10, "DEV &amp; DEL", 'Менеджмент'!E$4:'Менеджмент'!E10) 
* ($H$14 / ($H$14+$L$14))),0)</f>
        <v>228</v>
      </c>
      <c r="I11" s="18">
        <f>ROUNDUP(
SUMIF('Менеджмент'!$D$4:'Менеджмент'!$D10, "DEVELOPMENT", 'Менеджмент'!F$4:'Менеджмент'!F10) 
+ (SUMIF('Менеджмент'!$D$4:'Менеджмент'!$D10, "SPREAD", 'Менеджмент'!F$4:'Менеджмент'!F10) 
* ($H$14 / ($D$14+$H$14+$L$14)))
+ (SUMIF('Менеджмент'!$D$4:'Менеджмент'!$D10, "DIS &amp; DEV", 'Менеджмент'!F$4:'Менеджмент'!F10) 
* ($H$14 / ($D$14+$H$14)))
+ (SUMIF('Менеджмент'!$D$4:'Менеджмент'!$D10, "DEV &amp; DEL", 'Менеджмент'!F$4:'Менеджмент'!F10) 
* ($H$14 / ($H$14+$L$14))),0)</f>
        <v>251</v>
      </c>
      <c r="J11" s="19">
        <f>ROUNDUP(
SUMIF('Менеджмент'!$D$4:'Менеджмент'!$D10, "DEVELOPMENT", 'Менеджмент'!G$4:'Менеджмент'!G10) 
+ (SUMIF('Менеджмент'!$D$4:'Менеджмент'!$D10, "SPREAD", 'Менеджмент'!G$4:'Менеджмент'!G10) 
* ($H$14 / ($D$14+$H$14+$L$14)))
+ (SUMIF('Менеджмент'!$D$4:'Менеджмент'!$D10, "DIS &amp; DEV", 'Менеджмент'!G$4:'Менеджмент'!G10) 
* ($H$14 / ($D$14+$H$14)))
+ (SUMIF('Менеджмент'!$D$4:'Менеджмент'!$D10, "DEV &amp; DEL", 'Менеджмент'!G$4:'Менеджмент'!G10) 
* ($H$14 / ($H$14+$L$14))),0)</f>
        <v>10232</v>
      </c>
      <c r="K11" s="19">
        <f>ROUNDUP(
SUMIF('Менеджмент'!$D$4:'Менеджмент'!$D10, "DEVELOPMENT", 'Менеджмент'!H$4:'Менеджмент'!H10) 
+ (SUMIF('Менеджмент'!$D$4:'Менеджмент'!$D10, "SPREAD", 'Менеджмент'!H$4:'Менеджмент'!H10) 
* ($H$14 / ($D$14+$H$14+$L$14)))
+ (SUMIF('Менеджмент'!$D$4:'Менеджмент'!$D10, "DIS &amp; DEV", 'Менеджмент'!H$4:'Менеджмент'!H10) 
* ($H$14 / ($D$14+$H$14)))
+ (SUMIF('Менеджмент'!$D$4:'Менеджмент'!$D10, "DEV &amp; DEL", 'Менеджмент'!H$4:'Менеджмент'!H10) 
* ($H$14 / ($H$14+$L$14))),0)</f>
        <v>11268</v>
      </c>
      <c r="L11" s="20">
        <f>ROUNDUP(
SUMIF('Менеджмент'!$D$4:'Менеджмент'!$D10, "DELIVERY", 'Менеджмент'!E$4:'Менеджмент'!E10) 
+ (SUMIF('Менеджмент'!$D$4:'Менеджмент'!$D10, "SPREAD", 'Менеджмент'!E$4:'Менеджмент'!E10) 
* ($L$14 / ($D$14+$H$14+$L$14)))
+ (SUMIF('Менеджмент'!$D$4:'Менеджмент'!$D10, "DEV &amp; DEL", 'Менеджмент'!E$4:'Менеджмент'!E10) 
* ($L$14 / ($H$14+$L$14))),0)</f>
        <v>29</v>
      </c>
      <c r="M11" s="20">
        <f>ROUNDUP(
SUMIF('Менеджмент'!$D$4:'Менеджмент'!$D10, "DELIVERY", 'Менеджмент'!F$4:'Менеджмент'!F10) 
+ (SUMIF('Менеджмент'!$D$4:'Менеджмент'!$D10, "SPREAD", 'Менеджмент'!F$4:'Менеджмент'!F10) 
* ($L$14 / ($D$14+$H$14+$L$14)))
+ (SUMIF('Менеджмент'!$D$4:'Менеджмент'!$D10, "DEV &amp; DEL", 'Менеджмент'!F$4:'Менеджмент'!F10) 
* ($L$14 / ($H$14+$L$14))),0)</f>
        <v>37</v>
      </c>
      <c r="N11" s="21">
        <f>ROUNDUP(
SUMIF('Менеджмент'!$D$4:'Менеджмент'!$D10, "DELIVERY", 'Менеджмент'!G$4:'Менеджмент'!G10) 
+ (SUMIF('Менеджмент'!$D$4:'Менеджмент'!$D10, "SPREAD", 'Менеджмент'!G$4:'Менеджмент'!G10) 
* ($L$14 / ($D$14+$H$14+$L$14)))
+ (SUMIF('Менеджмент'!$D$4:'Менеджмент'!$D10, "DEV &amp; DEL", 'Менеджмент'!G$4:'Менеджмент'!G10) 
* ($L$14 / ($H$14+$L$14))),0)</f>
        <v>1303</v>
      </c>
      <c r="O11" s="21">
        <f>ROUNDUP(
SUMIF('Менеджмент'!$D$4:'Менеджмент'!$D10, "DELIVERY", 'Менеджмент'!H$4:'Менеджмент'!H10) 
+ (SUMIF('Менеджмент'!$D$4:'Менеджмент'!$D10, "SPREAD", 'Менеджмент'!H$4:'Менеджмент'!H10) 
* ($L$14 / ($D$14+$H$14+$L$14)))
+ (SUMIF('Менеджмент'!$D$4:'Менеджмент'!$D10, "DEV &amp; DEL", 'Менеджмент'!H$4:'Менеджмент'!H10) 
* ($L$14 / ($H$14+$L$14))),0)</f>
        <v>1639</v>
      </c>
    </row>
    <row r="12" ht="1.5" customHeight="1">
      <c r="A12" s="29"/>
      <c r="B12" s="30"/>
      <c r="C12" s="31"/>
      <c r="D12" s="32"/>
      <c r="E12" s="32"/>
      <c r="F12" s="33"/>
      <c r="G12" s="33"/>
      <c r="H12" s="34"/>
      <c r="I12" s="34"/>
      <c r="J12" s="34"/>
      <c r="K12" s="34"/>
      <c r="L12" s="34"/>
      <c r="M12" s="34"/>
      <c r="N12" s="34"/>
      <c r="O12" s="34"/>
    </row>
    <row r="13">
      <c r="A13" s="3" t="s">
        <v>28</v>
      </c>
      <c r="D13" s="35" t="str">
        <f>CONCATENATE(SUM(F4:F11)&amp;"$ - "&amp;SUM(G4:G11)&amp;"$")</f>
        <v>16330$ - 20296$</v>
      </c>
      <c r="H13" s="36" t="str">
        <f>CONCATENATE(SUM(J4:J11)&amp;"$ - "&amp;SUM(K4:K11)&amp;"$")</f>
        <v>148097$ - 187128$</v>
      </c>
      <c r="L13" s="37" t="str">
        <f>CONCATENATE(SUM(N4:N11)&amp;"$ - "&amp;SUM(O4:O11)&amp;"$")</f>
        <v>4831$ - 6148$</v>
      </c>
    </row>
    <row r="14">
      <c r="A14" s="3" t="s">
        <v>29</v>
      </c>
      <c r="D14" s="38" t="s">
        <v>22</v>
      </c>
      <c r="F14" s="39" t="s">
        <v>30</v>
      </c>
      <c r="H14" s="40" t="s">
        <v>31</v>
      </c>
      <c r="J14" s="41" t="s">
        <v>30</v>
      </c>
      <c r="L14" s="42" t="s">
        <v>12</v>
      </c>
      <c r="N14" s="43" t="s">
        <v>30</v>
      </c>
    </row>
    <row r="15">
      <c r="A15" s="44"/>
      <c r="B15" s="45"/>
      <c r="C15" s="46"/>
      <c r="D15" s="45"/>
      <c r="E15" s="45"/>
      <c r="F15" s="45"/>
      <c r="G15" s="45"/>
      <c r="H15" s="47"/>
      <c r="I15" s="47"/>
      <c r="J15" s="48"/>
      <c r="K15" s="49"/>
      <c r="L15" s="50"/>
      <c r="M15" s="51"/>
      <c r="N15" s="52"/>
      <c r="O15" s="52"/>
    </row>
    <row r="16">
      <c r="A16" s="44"/>
      <c r="B16" s="45" t="s">
        <v>32</v>
      </c>
      <c r="H16" s="47"/>
      <c r="I16" s="47"/>
      <c r="J16" s="48" t="s">
        <v>33</v>
      </c>
      <c r="K16" s="49" t="str">
        <f>CONCATENATE(D14+H14+L14&amp;" - "&amp;D14+H14+L14+2)</f>
        <v>19 - 21</v>
      </c>
      <c r="L16" s="53" t="s">
        <v>34</v>
      </c>
      <c r="M16" s="51"/>
      <c r="N16" s="52"/>
    </row>
    <row r="17">
      <c r="A17" s="54"/>
      <c r="B17" s="55"/>
      <c r="H17" s="56"/>
      <c r="I17" s="56"/>
      <c r="J17" s="56" t="s">
        <v>35</v>
      </c>
      <c r="K17" s="57">
        <f>SUM(F4:F12,J4:J12,N4:N12)</f>
        <v>169258</v>
      </c>
      <c r="M17" s="57" t="s">
        <v>36</v>
      </c>
      <c r="N17" s="57">
        <f>SUM(G4:G12,K4:K12,O4:O12)</f>
        <v>213572</v>
      </c>
    </row>
    <row r="18">
      <c r="A18" s="54"/>
      <c r="B18" s="45"/>
      <c r="C18" s="46"/>
      <c r="D18" s="45"/>
      <c r="E18" s="45"/>
      <c r="F18" s="45"/>
      <c r="G18" s="45"/>
      <c r="H18" s="56"/>
      <c r="I18" s="56"/>
      <c r="J18" s="56"/>
      <c r="K18" s="57"/>
      <c r="L18" s="57"/>
      <c r="M18" s="46"/>
      <c r="N18" s="58"/>
      <c r="O18" s="58"/>
    </row>
  </sheetData>
  <mergeCells count="21">
    <mergeCell ref="H13:K13"/>
    <mergeCell ref="L13:O13"/>
    <mergeCell ref="B1:O1"/>
    <mergeCell ref="A2:C2"/>
    <mergeCell ref="D2:G2"/>
    <mergeCell ref="H2:K2"/>
    <mergeCell ref="L2:O2"/>
    <mergeCell ref="A13:C13"/>
    <mergeCell ref="D13:G13"/>
    <mergeCell ref="N14:O14"/>
    <mergeCell ref="N16:O16"/>
    <mergeCell ref="N17:O17"/>
    <mergeCell ref="B17:G17"/>
    <mergeCell ref="K17:L17"/>
    <mergeCell ref="A14:C14"/>
    <mergeCell ref="D14:E14"/>
    <mergeCell ref="F14:G14"/>
    <mergeCell ref="H14:I14"/>
    <mergeCell ref="J14:K14"/>
    <mergeCell ref="L14:M14"/>
    <mergeCell ref="B16:G16"/>
  </mergeCells>
  <hyperlinks>
    <hyperlink display="Анализ" location="'Анализ'!A1" ref="B4"/>
    <hyperlink display="Дизайн" location="'Дизайн'!A1" ref="B5"/>
    <hyperlink display="Фронтенд-разработка" location="'Фронтенд'!A1" ref="B6"/>
    <hyperlink display="Бэкенд-разработка" location="'Бэкенд'!A1" ref="B7"/>
    <hyperlink display="Смарт-контракты" location="'Смарт контракты'!A1" ref="B8"/>
    <hyperlink display="DevOps " location="DevOps!A1" ref="B9"/>
    <hyperlink display="Контроль качества (QA)" location="QA!A1" ref="B10"/>
    <hyperlink display="Менеджмент" location="'Менеджмент'!A1" ref="B11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59" t="str">
        <f>'Общая смета'!B1</f>
        <v>ПРЕДВАРИТЕЛЬНАЯ ОЦЕНКА ТРУДОЗАТРАТ НА АГРЕГАТОР DEX В ТЕЛЕГРАМЕ</v>
      </c>
    </row>
    <row r="2">
      <c r="A2" s="60" t="s">
        <v>5</v>
      </c>
      <c r="B2" s="60" t="s">
        <v>37</v>
      </c>
      <c r="C2" s="60" t="s">
        <v>38</v>
      </c>
      <c r="D2" s="60" t="s">
        <v>39</v>
      </c>
      <c r="E2" s="60" t="s">
        <v>8</v>
      </c>
      <c r="F2" s="60" t="s">
        <v>9</v>
      </c>
      <c r="G2" s="60" t="s">
        <v>10</v>
      </c>
      <c r="H2" s="60" t="s">
        <v>11</v>
      </c>
    </row>
    <row r="3">
      <c r="A3" s="61" t="s">
        <v>12</v>
      </c>
      <c r="B3" s="62" t="s">
        <v>13</v>
      </c>
      <c r="C3" s="63">
        <v>42.0</v>
      </c>
      <c r="D3" s="64"/>
      <c r="E3" s="65">
        <f t="shared" ref="E3:F3" si="1">SUM(E4:E9)</f>
        <v>118</v>
      </c>
      <c r="F3" s="65">
        <f t="shared" si="1"/>
        <v>148</v>
      </c>
      <c r="G3" s="66">
        <f t="shared" ref="G3:H3" si="2">SUM(G4:G9)-G9</f>
        <v>4956</v>
      </c>
      <c r="H3" s="66">
        <f t="shared" si="2"/>
        <v>6216</v>
      </c>
    </row>
    <row r="4">
      <c r="A4" s="67" t="s">
        <v>40</v>
      </c>
      <c r="B4" s="68" t="s">
        <v>41</v>
      </c>
      <c r="C4" s="69"/>
      <c r="D4" s="70" t="s">
        <v>2</v>
      </c>
      <c r="E4" s="71">
        <v>16.0</v>
      </c>
      <c r="F4" s="71">
        <v>20.0</v>
      </c>
      <c r="G4" s="72">
        <f t="shared" ref="G4:H4" si="3">E4*$C$3</f>
        <v>672</v>
      </c>
      <c r="H4" s="72">
        <f t="shared" si="3"/>
        <v>840</v>
      </c>
    </row>
    <row r="5">
      <c r="A5" s="67" t="s">
        <v>42</v>
      </c>
      <c r="B5" s="68" t="s">
        <v>43</v>
      </c>
      <c r="C5" s="69"/>
      <c r="D5" s="73" t="s">
        <v>2</v>
      </c>
      <c r="E5" s="71">
        <v>16.0</v>
      </c>
      <c r="F5" s="71">
        <v>20.0</v>
      </c>
      <c r="G5" s="72">
        <f t="shared" ref="G5:H5" si="4">E5*$C$3</f>
        <v>672</v>
      </c>
      <c r="H5" s="72">
        <f t="shared" si="4"/>
        <v>840</v>
      </c>
    </row>
    <row r="6">
      <c r="A6" s="67" t="s">
        <v>44</v>
      </c>
      <c r="B6" s="74" t="s">
        <v>45</v>
      </c>
      <c r="C6" s="69"/>
      <c r="D6" s="73" t="s">
        <v>2</v>
      </c>
      <c r="E6" s="71">
        <v>40.0</v>
      </c>
      <c r="F6" s="71">
        <v>48.0</v>
      </c>
      <c r="G6" s="72">
        <f t="shared" ref="G6:H6" si="5">E6*$C$3</f>
        <v>1680</v>
      </c>
      <c r="H6" s="72">
        <f t="shared" si="5"/>
        <v>2016</v>
      </c>
    </row>
    <row r="7">
      <c r="A7" s="67" t="s">
        <v>46</v>
      </c>
      <c r="B7" s="74" t="s">
        <v>47</v>
      </c>
      <c r="C7" s="69"/>
      <c r="D7" s="73" t="s">
        <v>48</v>
      </c>
      <c r="E7" s="71">
        <v>30.0</v>
      </c>
      <c r="F7" s="71">
        <v>40.0</v>
      </c>
      <c r="G7" s="72">
        <f t="shared" ref="G7:H7" si="6">E7*$C$3</f>
        <v>1260</v>
      </c>
      <c r="H7" s="72">
        <f t="shared" si="6"/>
        <v>1680</v>
      </c>
    </row>
    <row r="8">
      <c r="A8" s="75" t="s">
        <v>49</v>
      </c>
      <c r="B8" s="76" t="s">
        <v>50</v>
      </c>
      <c r="C8" s="69"/>
      <c r="D8" s="77" t="s">
        <v>51</v>
      </c>
      <c r="E8" s="78">
        <v>16.0</v>
      </c>
      <c r="F8" s="78">
        <v>20.0</v>
      </c>
      <c r="G8" s="72">
        <f t="shared" ref="G8:H8" si="7">E8*$C$3</f>
        <v>672</v>
      </c>
      <c r="H8" s="72">
        <f t="shared" si="7"/>
        <v>840</v>
      </c>
    </row>
    <row r="9" ht="1.5" customHeight="1">
      <c r="A9" s="79"/>
      <c r="B9" s="80"/>
      <c r="C9" s="81"/>
      <c r="D9" s="82" t="s">
        <v>51</v>
      </c>
      <c r="E9" s="81"/>
      <c r="F9" s="81"/>
      <c r="G9" s="83"/>
      <c r="H9" s="83"/>
    </row>
    <row r="10">
      <c r="A10" s="84"/>
      <c r="B10" s="85"/>
      <c r="C10" s="86"/>
      <c r="D10" s="87"/>
      <c r="E10" s="86"/>
      <c r="F10" s="86"/>
      <c r="G10" s="88"/>
      <c r="H10" s="88"/>
    </row>
  </sheetData>
  <mergeCells count="6">
    <mergeCell ref="A1:H1"/>
    <mergeCell ref="B4:C4"/>
    <mergeCell ref="B5:C5"/>
    <mergeCell ref="B6:C6"/>
    <mergeCell ref="B7:C7"/>
    <mergeCell ref="B8:C8"/>
  </mergeCells>
  <dataValidations>
    <dataValidation type="list" allowBlank="1" showErrorMessage="1" sqref="D4:D9">
      <formula1>"SPREAD,DISCOVERY,DIS &amp; DEV,DEVELOPMENT,DEV &amp; DEL,DELIVERY"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91" t="s">
        <v>14</v>
      </c>
      <c r="B3" s="92" t="s">
        <v>15</v>
      </c>
      <c r="C3" s="93">
        <v>45.0</v>
      </c>
      <c r="D3" s="94"/>
      <c r="E3" s="95">
        <f t="shared" ref="E3:H3" si="1">SUM(E4:E26)</f>
        <v>180</v>
      </c>
      <c r="F3" s="95">
        <f t="shared" si="1"/>
        <v>242</v>
      </c>
      <c r="G3" s="96">
        <f t="shared" si="1"/>
        <v>8100</v>
      </c>
      <c r="H3" s="96">
        <f t="shared" si="1"/>
        <v>10890</v>
      </c>
    </row>
    <row r="4">
      <c r="A4" s="97" t="s">
        <v>52</v>
      </c>
      <c r="B4" s="98" t="s">
        <v>53</v>
      </c>
      <c r="C4" s="69"/>
      <c r="D4" s="70" t="s">
        <v>2</v>
      </c>
      <c r="E4" s="99">
        <v>4.0</v>
      </c>
      <c r="F4" s="99">
        <v>6.0</v>
      </c>
      <c r="G4" s="100">
        <f t="shared" ref="G4:H4" si="2">E4*$C$3</f>
        <v>180</v>
      </c>
      <c r="H4" s="100">
        <f t="shared" si="2"/>
        <v>270</v>
      </c>
    </row>
    <row r="5" ht="27.75" customHeight="1">
      <c r="A5" s="97" t="s">
        <v>54</v>
      </c>
      <c r="B5" s="98" t="s">
        <v>55</v>
      </c>
      <c r="C5" s="101"/>
      <c r="D5" s="101"/>
      <c r="E5" s="101"/>
      <c r="F5" s="101"/>
      <c r="G5" s="101"/>
      <c r="H5" s="69"/>
    </row>
    <row r="6">
      <c r="A6" s="97" t="s">
        <v>56</v>
      </c>
      <c r="B6" s="98" t="s">
        <v>57</v>
      </c>
      <c r="C6" s="69"/>
      <c r="D6" s="102" t="s">
        <v>58</v>
      </c>
      <c r="E6" s="99">
        <v>20.0</v>
      </c>
      <c r="F6" s="99">
        <v>24.0</v>
      </c>
      <c r="G6" s="100">
        <f t="shared" ref="G6:H6" si="3">E6*$C$3</f>
        <v>900</v>
      </c>
      <c r="H6" s="100">
        <f t="shared" si="3"/>
        <v>1080</v>
      </c>
    </row>
    <row r="7">
      <c r="A7" s="97" t="s">
        <v>59</v>
      </c>
      <c r="B7" s="103" t="s">
        <v>60</v>
      </c>
      <c r="C7" s="69"/>
      <c r="D7" s="102" t="s">
        <v>58</v>
      </c>
      <c r="E7" s="99">
        <v>6.0</v>
      </c>
      <c r="F7" s="99">
        <v>8.0</v>
      </c>
      <c r="G7" s="100">
        <f t="shared" ref="G7:H7" si="4">E7*$C$3</f>
        <v>270</v>
      </c>
      <c r="H7" s="100">
        <f t="shared" si="4"/>
        <v>360</v>
      </c>
    </row>
    <row r="8" ht="27.75" customHeight="1">
      <c r="A8" s="97" t="s">
        <v>61</v>
      </c>
      <c r="B8" s="104" t="s">
        <v>62</v>
      </c>
      <c r="C8" s="101"/>
      <c r="D8" s="101"/>
      <c r="E8" s="101"/>
      <c r="F8" s="101"/>
      <c r="G8" s="101"/>
      <c r="H8" s="69"/>
    </row>
    <row r="9">
      <c r="A9" s="97" t="s">
        <v>63</v>
      </c>
      <c r="B9" s="104" t="s">
        <v>64</v>
      </c>
      <c r="C9" s="69"/>
      <c r="D9" s="102" t="s">
        <v>2</v>
      </c>
      <c r="E9" s="99">
        <v>10.0</v>
      </c>
      <c r="F9" s="99">
        <v>16.0</v>
      </c>
      <c r="G9" s="100">
        <f t="shared" ref="G9:H9" si="5">E9*$C$3</f>
        <v>450</v>
      </c>
      <c r="H9" s="100">
        <f t="shared" si="5"/>
        <v>720</v>
      </c>
    </row>
    <row r="10">
      <c r="A10" s="97" t="s">
        <v>65</v>
      </c>
      <c r="B10" s="105" t="s">
        <v>66</v>
      </c>
      <c r="C10" s="69"/>
      <c r="D10" s="102" t="s">
        <v>2</v>
      </c>
      <c r="E10" s="99">
        <v>2.0</v>
      </c>
      <c r="F10" s="99">
        <v>4.0</v>
      </c>
      <c r="G10" s="100">
        <f t="shared" ref="G10:H10" si="6">E10*$C$3</f>
        <v>90</v>
      </c>
      <c r="H10" s="100">
        <f t="shared" si="6"/>
        <v>180</v>
      </c>
    </row>
    <row r="11">
      <c r="A11" s="97" t="s">
        <v>67</v>
      </c>
      <c r="B11" s="106" t="s">
        <v>68</v>
      </c>
      <c r="C11" s="107"/>
      <c r="D11" s="102" t="s">
        <v>2</v>
      </c>
      <c r="E11" s="99">
        <v>18.0</v>
      </c>
      <c r="F11" s="99">
        <v>24.0</v>
      </c>
      <c r="G11" s="100">
        <f t="shared" ref="G11:H11" si="7">E11*$C$3</f>
        <v>810</v>
      </c>
      <c r="H11" s="100">
        <f t="shared" si="7"/>
        <v>1080</v>
      </c>
    </row>
    <row r="12">
      <c r="A12" s="97" t="s">
        <v>69</v>
      </c>
      <c r="B12" s="108" t="s">
        <v>70</v>
      </c>
      <c r="C12" s="107"/>
      <c r="D12" s="102" t="s">
        <v>2</v>
      </c>
      <c r="E12" s="99">
        <v>1.0</v>
      </c>
      <c r="F12" s="99">
        <v>2.0</v>
      </c>
      <c r="G12" s="100">
        <f t="shared" ref="G12:H12" si="8">E12*$C$3</f>
        <v>45</v>
      </c>
      <c r="H12" s="100">
        <f t="shared" si="8"/>
        <v>90</v>
      </c>
    </row>
    <row r="13">
      <c r="A13" s="97" t="s">
        <v>71</v>
      </c>
      <c r="B13" s="108" t="s">
        <v>72</v>
      </c>
      <c r="C13" s="107"/>
      <c r="D13" s="102" t="s">
        <v>2</v>
      </c>
      <c r="E13" s="99">
        <v>1.0</v>
      </c>
      <c r="F13" s="99">
        <v>2.0</v>
      </c>
      <c r="G13" s="100">
        <f t="shared" ref="G13:H13" si="9">E13*$C$3</f>
        <v>45</v>
      </c>
      <c r="H13" s="100">
        <f t="shared" si="9"/>
        <v>90</v>
      </c>
    </row>
    <row r="14">
      <c r="A14" s="97" t="s">
        <v>73</v>
      </c>
      <c r="B14" s="108" t="s">
        <v>74</v>
      </c>
      <c r="C14" s="107"/>
      <c r="D14" s="102" t="s">
        <v>58</v>
      </c>
      <c r="E14" s="99">
        <v>6.0</v>
      </c>
      <c r="F14" s="99">
        <v>8.0</v>
      </c>
      <c r="G14" s="100">
        <f t="shared" ref="G14:H14" si="10">E14*$C$3</f>
        <v>270</v>
      </c>
      <c r="H14" s="100">
        <f t="shared" si="10"/>
        <v>360</v>
      </c>
    </row>
    <row r="15">
      <c r="A15" s="97" t="s">
        <v>75</v>
      </c>
      <c r="B15" s="108" t="s">
        <v>76</v>
      </c>
      <c r="C15" s="107"/>
      <c r="D15" s="102" t="s">
        <v>58</v>
      </c>
      <c r="E15" s="99">
        <v>6.0</v>
      </c>
      <c r="F15" s="99">
        <v>8.0</v>
      </c>
      <c r="G15" s="100">
        <f t="shared" ref="G15:H15" si="11">E15*$C$3</f>
        <v>270</v>
      </c>
      <c r="H15" s="100">
        <f t="shared" si="11"/>
        <v>360</v>
      </c>
    </row>
    <row r="16">
      <c r="A16" s="97" t="s">
        <v>77</v>
      </c>
      <c r="B16" s="108" t="s">
        <v>78</v>
      </c>
      <c r="C16" s="107"/>
      <c r="D16" s="102" t="s">
        <v>58</v>
      </c>
      <c r="E16" s="99">
        <v>2.0</v>
      </c>
      <c r="F16" s="99">
        <v>4.0</v>
      </c>
      <c r="G16" s="100">
        <f t="shared" ref="G16:H16" si="12">E16*$C$3</f>
        <v>90</v>
      </c>
      <c r="H16" s="100">
        <f t="shared" si="12"/>
        <v>180</v>
      </c>
    </row>
    <row r="17">
      <c r="A17" s="97" t="s">
        <v>79</v>
      </c>
      <c r="B17" s="109" t="s">
        <v>80</v>
      </c>
      <c r="C17" s="110"/>
      <c r="D17" s="110"/>
      <c r="E17" s="110"/>
      <c r="F17" s="110"/>
      <c r="G17" s="110"/>
      <c r="H17" s="107"/>
    </row>
    <row r="18">
      <c r="A18" s="97" t="s">
        <v>81</v>
      </c>
      <c r="B18" s="103" t="s">
        <v>82</v>
      </c>
      <c r="C18" s="69"/>
      <c r="D18" s="102" t="s">
        <v>58</v>
      </c>
      <c r="E18" s="99">
        <v>2.0</v>
      </c>
      <c r="F18" s="99">
        <v>4.0</v>
      </c>
      <c r="G18" s="100">
        <f t="shared" ref="G18:H18" si="13">E18*$C$3</f>
        <v>90</v>
      </c>
      <c r="H18" s="100">
        <f t="shared" si="13"/>
        <v>180</v>
      </c>
    </row>
    <row r="19">
      <c r="A19" s="97" t="s">
        <v>83</v>
      </c>
      <c r="B19" s="104" t="s">
        <v>84</v>
      </c>
      <c r="C19" s="69"/>
      <c r="D19" s="102" t="s">
        <v>58</v>
      </c>
      <c r="E19" s="99">
        <v>12.0</v>
      </c>
      <c r="F19" s="99">
        <v>16.0</v>
      </c>
      <c r="G19" s="100">
        <f t="shared" ref="G19:H19" si="14">E19*$C$3</f>
        <v>540</v>
      </c>
      <c r="H19" s="100">
        <f t="shared" si="14"/>
        <v>720</v>
      </c>
    </row>
    <row r="20">
      <c r="A20" s="97" t="s">
        <v>85</v>
      </c>
      <c r="B20" s="103" t="s">
        <v>86</v>
      </c>
      <c r="C20" s="69"/>
      <c r="D20" s="102" t="s">
        <v>58</v>
      </c>
      <c r="E20" s="99">
        <v>12.0</v>
      </c>
      <c r="F20" s="99">
        <v>16.0</v>
      </c>
      <c r="G20" s="100">
        <f t="shared" ref="G20:H20" si="15">E20*$C$3</f>
        <v>540</v>
      </c>
      <c r="H20" s="100">
        <f t="shared" si="15"/>
        <v>720</v>
      </c>
    </row>
    <row r="21">
      <c r="A21" s="97" t="s">
        <v>87</v>
      </c>
      <c r="B21" s="104" t="s">
        <v>88</v>
      </c>
      <c r="C21" s="69"/>
      <c r="D21" s="102" t="s">
        <v>58</v>
      </c>
      <c r="E21" s="99">
        <v>12.0</v>
      </c>
      <c r="F21" s="99">
        <v>16.0</v>
      </c>
      <c r="G21" s="100">
        <f t="shared" ref="G21:H21" si="16">E21*$C$3</f>
        <v>540</v>
      </c>
      <c r="H21" s="100">
        <f t="shared" si="16"/>
        <v>720</v>
      </c>
    </row>
    <row r="22">
      <c r="A22" s="97" t="s">
        <v>89</v>
      </c>
      <c r="B22" s="104" t="s">
        <v>90</v>
      </c>
      <c r="C22" s="69"/>
      <c r="D22" s="102" t="s">
        <v>58</v>
      </c>
      <c r="E22" s="99">
        <v>12.0</v>
      </c>
      <c r="F22" s="99">
        <v>16.0</v>
      </c>
      <c r="G22" s="100">
        <f t="shared" ref="G22:H22" si="17">E22*$C$3</f>
        <v>540</v>
      </c>
      <c r="H22" s="100">
        <f t="shared" si="17"/>
        <v>720</v>
      </c>
    </row>
    <row r="23">
      <c r="A23" s="97" t="s">
        <v>91</v>
      </c>
      <c r="B23" s="98" t="s">
        <v>92</v>
      </c>
      <c r="C23" s="69"/>
      <c r="D23" s="102" t="s">
        <v>58</v>
      </c>
      <c r="E23" s="99">
        <v>16.0</v>
      </c>
      <c r="F23" s="99">
        <v>20.0</v>
      </c>
      <c r="G23" s="100">
        <f t="shared" ref="G23:H23" si="18">E23*$C$3</f>
        <v>720</v>
      </c>
      <c r="H23" s="100">
        <f t="shared" si="18"/>
        <v>900</v>
      </c>
    </row>
    <row r="24">
      <c r="A24" s="97" t="s">
        <v>93</v>
      </c>
      <c r="B24" s="98" t="s">
        <v>94</v>
      </c>
      <c r="C24" s="69"/>
      <c r="D24" s="102" t="s">
        <v>3</v>
      </c>
      <c r="E24" s="99">
        <v>22.0</v>
      </c>
      <c r="F24" s="99">
        <v>28.0</v>
      </c>
      <c r="G24" s="100">
        <f t="shared" ref="G24:H24" si="19">E24*$C$3</f>
        <v>990</v>
      </c>
      <c r="H24" s="100">
        <f t="shared" si="19"/>
        <v>1260</v>
      </c>
    </row>
    <row r="25">
      <c r="A25" s="97" t="s">
        <v>95</v>
      </c>
      <c r="B25" s="68" t="s">
        <v>96</v>
      </c>
      <c r="C25" s="69"/>
      <c r="D25" s="111" t="s">
        <v>58</v>
      </c>
      <c r="E25" s="99">
        <v>16.0</v>
      </c>
      <c r="F25" s="99">
        <v>20.0</v>
      </c>
      <c r="G25" s="100">
        <f t="shared" ref="G25:H25" si="20">E25*$C$3</f>
        <v>720</v>
      </c>
      <c r="H25" s="100">
        <f t="shared" si="20"/>
        <v>900</v>
      </c>
    </row>
    <row r="26" ht="1.5" customHeight="1">
      <c r="A26" s="112"/>
      <c r="B26" s="113"/>
      <c r="C26" s="114"/>
      <c r="D26" s="115"/>
      <c r="E26" s="114"/>
      <c r="F26" s="114"/>
      <c r="G26" s="116"/>
      <c r="H26" s="116"/>
    </row>
    <row r="27">
      <c r="A27" s="117"/>
      <c r="B27" s="118"/>
      <c r="C27" s="119"/>
      <c r="D27" s="120"/>
      <c r="E27" s="119"/>
      <c r="F27" s="119"/>
      <c r="G27" s="121"/>
      <c r="H27" s="121"/>
    </row>
  </sheetData>
  <mergeCells count="23">
    <mergeCell ref="A1:H1"/>
    <mergeCell ref="B4:C4"/>
    <mergeCell ref="B5:H5"/>
    <mergeCell ref="B6:C6"/>
    <mergeCell ref="B7:C7"/>
    <mergeCell ref="B8:H8"/>
    <mergeCell ref="B9:C9"/>
    <mergeCell ref="B10:C10"/>
    <mergeCell ref="B11:C11"/>
    <mergeCell ref="B12:C12"/>
    <mergeCell ref="B13:C13"/>
    <mergeCell ref="B14:C14"/>
    <mergeCell ref="B15:C15"/>
    <mergeCell ref="B17:H17"/>
    <mergeCell ref="B24:C24"/>
    <mergeCell ref="B25:C25"/>
    <mergeCell ref="B16:C16"/>
    <mergeCell ref="B18:C18"/>
    <mergeCell ref="B19:C19"/>
    <mergeCell ref="B20:C20"/>
    <mergeCell ref="B21:C21"/>
    <mergeCell ref="B22:C22"/>
    <mergeCell ref="B23:C23"/>
  </mergeCells>
  <dataValidations>
    <dataValidation type="list" allowBlank="1" showErrorMessage="1" sqref="D4 D6:D7 D9:D16 D18:D25">
      <formula1>"SPREAD,DISCOVERY,DIS &amp; DEV,DEVELOPMENT,DEV &amp; DEL,DELIVERY"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22" t="s">
        <v>16</v>
      </c>
      <c r="B3" s="123" t="s">
        <v>17</v>
      </c>
      <c r="C3" s="124">
        <v>50.0</v>
      </c>
      <c r="D3" s="124"/>
      <c r="E3" s="125">
        <f t="shared" ref="E3:H3" si="1">SUM(E4:E30)</f>
        <v>740</v>
      </c>
      <c r="F3" s="125">
        <f t="shared" si="1"/>
        <v>884</v>
      </c>
      <c r="G3" s="126">
        <f t="shared" si="1"/>
        <v>37000</v>
      </c>
      <c r="H3" s="126">
        <f t="shared" si="1"/>
        <v>44200</v>
      </c>
    </row>
    <row r="4">
      <c r="A4" s="127" t="s">
        <v>97</v>
      </c>
      <c r="B4" s="128" t="s">
        <v>98</v>
      </c>
      <c r="C4" s="69"/>
      <c r="D4" s="129" t="s">
        <v>2</v>
      </c>
      <c r="E4" s="99">
        <v>4.0</v>
      </c>
      <c r="F4" s="99">
        <v>6.0</v>
      </c>
      <c r="G4" s="100">
        <f t="shared" ref="G4:H4" si="2">E4*$C$3</f>
        <v>200</v>
      </c>
      <c r="H4" s="100">
        <f t="shared" si="2"/>
        <v>300</v>
      </c>
    </row>
    <row r="5">
      <c r="A5" s="127" t="s">
        <v>99</v>
      </c>
      <c r="B5" s="128" t="s">
        <v>100</v>
      </c>
      <c r="C5" s="69"/>
      <c r="D5" s="130" t="s">
        <v>3</v>
      </c>
      <c r="E5" s="99">
        <v>8.0</v>
      </c>
      <c r="F5" s="99">
        <v>10.0</v>
      </c>
      <c r="G5" s="100">
        <f t="shared" ref="G5:H5" si="3">E5*$C$3</f>
        <v>400</v>
      </c>
      <c r="H5" s="100">
        <f t="shared" si="3"/>
        <v>500</v>
      </c>
    </row>
    <row r="6">
      <c r="A6" s="127" t="s">
        <v>101</v>
      </c>
      <c r="B6" s="128" t="s">
        <v>102</v>
      </c>
      <c r="C6" s="69"/>
      <c r="D6" s="131" t="s">
        <v>3</v>
      </c>
      <c r="E6" s="99">
        <v>88.0</v>
      </c>
      <c r="F6" s="99">
        <v>104.0</v>
      </c>
      <c r="G6" s="100">
        <f t="shared" ref="G6:H6" si="4">E6*$C$3</f>
        <v>4400</v>
      </c>
      <c r="H6" s="100">
        <f t="shared" si="4"/>
        <v>5200</v>
      </c>
    </row>
    <row r="7">
      <c r="A7" s="127" t="s">
        <v>103</v>
      </c>
      <c r="B7" s="132" t="s">
        <v>104</v>
      </c>
      <c r="C7" s="69"/>
      <c r="D7" s="131" t="s">
        <v>3</v>
      </c>
      <c r="E7" s="99">
        <v>32.0</v>
      </c>
      <c r="F7" s="99">
        <v>40.0</v>
      </c>
      <c r="G7" s="100">
        <f t="shared" ref="G7:H7" si="5">E7*$C$3</f>
        <v>1600</v>
      </c>
      <c r="H7" s="100">
        <f t="shared" si="5"/>
        <v>2000</v>
      </c>
    </row>
    <row r="8">
      <c r="A8" s="127" t="s">
        <v>105</v>
      </c>
      <c r="B8" s="128" t="s">
        <v>106</v>
      </c>
      <c r="C8" s="69"/>
      <c r="D8" s="131" t="s">
        <v>3</v>
      </c>
      <c r="E8" s="99">
        <v>32.0</v>
      </c>
      <c r="F8" s="99">
        <v>40.0</v>
      </c>
      <c r="G8" s="100">
        <f t="shared" ref="G8:H8" si="6">E8*$C$3</f>
        <v>1600</v>
      </c>
      <c r="H8" s="100">
        <f t="shared" si="6"/>
        <v>2000</v>
      </c>
    </row>
    <row r="9">
      <c r="A9" s="127" t="s">
        <v>107</v>
      </c>
      <c r="B9" s="132" t="s">
        <v>108</v>
      </c>
      <c r="C9" s="69"/>
      <c r="D9" s="130" t="s">
        <v>3</v>
      </c>
      <c r="E9" s="99">
        <v>80.0</v>
      </c>
      <c r="F9" s="99">
        <v>96.0</v>
      </c>
      <c r="G9" s="100">
        <f t="shared" ref="G9:H9" si="7">E9*$C$3</f>
        <v>4000</v>
      </c>
      <c r="H9" s="100">
        <f t="shared" si="7"/>
        <v>4800</v>
      </c>
    </row>
    <row r="10" ht="23.25" customHeight="1">
      <c r="A10" s="127" t="s">
        <v>109</v>
      </c>
      <c r="B10" s="132" t="s">
        <v>55</v>
      </c>
      <c r="C10" s="101"/>
      <c r="D10" s="101"/>
      <c r="E10" s="101"/>
      <c r="F10" s="101"/>
      <c r="G10" s="101"/>
      <c r="H10" s="69"/>
    </row>
    <row r="11">
      <c r="A11" s="127" t="s">
        <v>110</v>
      </c>
      <c r="B11" s="132" t="s">
        <v>111</v>
      </c>
      <c r="C11" s="69"/>
      <c r="D11" s="130" t="s">
        <v>3</v>
      </c>
      <c r="E11" s="99">
        <v>32.0</v>
      </c>
      <c r="F11" s="99">
        <v>40.0</v>
      </c>
      <c r="G11" s="100">
        <f t="shared" ref="G11:H11" si="8">E11*$C$3</f>
        <v>1600</v>
      </c>
      <c r="H11" s="100">
        <f t="shared" si="8"/>
        <v>2000</v>
      </c>
    </row>
    <row r="12">
      <c r="A12" s="127" t="s">
        <v>112</v>
      </c>
      <c r="B12" s="74" t="s">
        <v>113</v>
      </c>
      <c r="C12" s="69"/>
      <c r="D12" s="130" t="s">
        <v>3</v>
      </c>
      <c r="E12" s="99">
        <v>6.0</v>
      </c>
      <c r="F12" s="99">
        <v>8.0</v>
      </c>
      <c r="G12" s="100">
        <f t="shared" ref="G12:H12" si="9">E12*$C$3</f>
        <v>300</v>
      </c>
      <c r="H12" s="100">
        <f t="shared" si="9"/>
        <v>400</v>
      </c>
    </row>
    <row r="13" ht="21.0" customHeight="1">
      <c r="A13" s="127" t="s">
        <v>114</v>
      </c>
      <c r="B13" s="74" t="s">
        <v>62</v>
      </c>
      <c r="C13" s="101"/>
      <c r="D13" s="101"/>
      <c r="E13" s="101"/>
      <c r="F13" s="101"/>
      <c r="G13" s="101"/>
      <c r="H13" s="69"/>
    </row>
    <row r="14">
      <c r="A14" s="127" t="s">
        <v>115</v>
      </c>
      <c r="B14" s="74" t="s">
        <v>116</v>
      </c>
      <c r="C14" s="69"/>
      <c r="D14" s="130" t="s">
        <v>3</v>
      </c>
      <c r="E14" s="99">
        <v>32.0</v>
      </c>
      <c r="F14" s="99">
        <v>40.0</v>
      </c>
      <c r="G14" s="100">
        <f t="shared" ref="G14:H14" si="10">E14*$C$3</f>
        <v>1600</v>
      </c>
      <c r="H14" s="100">
        <f t="shared" si="10"/>
        <v>2000</v>
      </c>
    </row>
    <row r="15">
      <c r="A15" s="127" t="s">
        <v>117</v>
      </c>
      <c r="B15" s="133" t="s">
        <v>118</v>
      </c>
      <c r="C15" s="69"/>
      <c r="D15" s="130" t="s">
        <v>3</v>
      </c>
      <c r="E15" s="99">
        <v>16.0</v>
      </c>
      <c r="F15" s="99">
        <v>24.0</v>
      </c>
      <c r="G15" s="100">
        <f t="shared" ref="G15:H15" si="11">E15*$C$3</f>
        <v>800</v>
      </c>
      <c r="H15" s="100">
        <f t="shared" si="11"/>
        <v>1200</v>
      </c>
    </row>
    <row r="16">
      <c r="A16" s="127" t="s">
        <v>119</v>
      </c>
      <c r="B16" s="134" t="s">
        <v>120</v>
      </c>
      <c r="C16" s="107"/>
      <c r="D16" s="130" t="s">
        <v>3</v>
      </c>
      <c r="E16" s="99">
        <v>72.0</v>
      </c>
      <c r="F16" s="99">
        <v>88.0</v>
      </c>
      <c r="G16" s="100">
        <f t="shared" ref="G16:H16" si="12">E16*$C$3</f>
        <v>3600</v>
      </c>
      <c r="H16" s="100">
        <f t="shared" si="12"/>
        <v>4400</v>
      </c>
    </row>
    <row r="17">
      <c r="A17" s="127" t="s">
        <v>121</v>
      </c>
      <c r="B17" s="134" t="s">
        <v>122</v>
      </c>
      <c r="C17" s="107"/>
      <c r="D17" s="130" t="s">
        <v>3</v>
      </c>
      <c r="E17" s="99">
        <v>16.0</v>
      </c>
      <c r="F17" s="99">
        <v>20.0</v>
      </c>
      <c r="G17" s="100">
        <f t="shared" ref="G17:H17" si="13">E17*$C$3</f>
        <v>800</v>
      </c>
      <c r="H17" s="100">
        <f t="shared" si="13"/>
        <v>1000</v>
      </c>
    </row>
    <row r="18">
      <c r="A18" s="127" t="s">
        <v>123</v>
      </c>
      <c r="B18" s="134" t="s">
        <v>124</v>
      </c>
      <c r="C18" s="107"/>
      <c r="D18" s="130" t="s">
        <v>3</v>
      </c>
      <c r="E18" s="99">
        <v>12.0</v>
      </c>
      <c r="F18" s="99">
        <v>16.0</v>
      </c>
      <c r="G18" s="100">
        <f t="shared" ref="G18:H18" si="14">E18*$C$3</f>
        <v>600</v>
      </c>
      <c r="H18" s="100">
        <f t="shared" si="14"/>
        <v>800</v>
      </c>
    </row>
    <row r="19">
      <c r="A19" s="127" t="s">
        <v>125</v>
      </c>
      <c r="B19" s="109" t="s">
        <v>126</v>
      </c>
      <c r="C19" s="107"/>
      <c r="D19" s="130" t="s">
        <v>3</v>
      </c>
      <c r="E19" s="99">
        <v>28.0</v>
      </c>
      <c r="F19" s="99">
        <v>32.0</v>
      </c>
      <c r="G19" s="100">
        <f t="shared" ref="G19:H19" si="15">E19*$C$3</f>
        <v>1400</v>
      </c>
      <c r="H19" s="100">
        <f t="shared" si="15"/>
        <v>1600</v>
      </c>
    </row>
    <row r="20">
      <c r="A20" s="127" t="s">
        <v>127</v>
      </c>
      <c r="B20" s="134" t="s">
        <v>128</v>
      </c>
      <c r="C20" s="107"/>
      <c r="D20" s="130" t="s">
        <v>3</v>
      </c>
      <c r="E20" s="99">
        <v>32.0</v>
      </c>
      <c r="F20" s="99">
        <v>36.0</v>
      </c>
      <c r="G20" s="100">
        <f t="shared" ref="G20:H20" si="16">E20*$C$3</f>
        <v>1600</v>
      </c>
      <c r="H20" s="100">
        <f t="shared" si="16"/>
        <v>1800</v>
      </c>
    </row>
    <row r="21">
      <c r="A21" s="127" t="s">
        <v>129</v>
      </c>
      <c r="B21" s="134" t="s">
        <v>130</v>
      </c>
      <c r="C21" s="107"/>
      <c r="D21" s="130" t="s">
        <v>3</v>
      </c>
      <c r="E21" s="135">
        <v>16.0</v>
      </c>
      <c r="F21" s="135">
        <v>20.0</v>
      </c>
      <c r="G21" s="100">
        <f t="shared" ref="G21:H21" si="17">E21*$C$3</f>
        <v>800</v>
      </c>
      <c r="H21" s="100">
        <f t="shared" si="17"/>
        <v>1000</v>
      </c>
    </row>
    <row r="22">
      <c r="A22" s="127" t="s">
        <v>131</v>
      </c>
      <c r="B22" s="109" t="s">
        <v>80</v>
      </c>
      <c r="C22" s="110"/>
      <c r="D22" s="110"/>
      <c r="E22" s="110"/>
      <c r="F22" s="110"/>
      <c r="G22" s="110"/>
      <c r="H22" s="107"/>
    </row>
    <row r="23">
      <c r="A23" s="127" t="s">
        <v>132</v>
      </c>
      <c r="B23" s="74" t="s">
        <v>133</v>
      </c>
      <c r="C23" s="69"/>
      <c r="D23" s="130" t="s">
        <v>3</v>
      </c>
      <c r="E23" s="99">
        <v>12.0</v>
      </c>
      <c r="F23" s="99">
        <v>16.0</v>
      </c>
      <c r="G23" s="100">
        <f t="shared" ref="G23:H23" si="18">E23*$C$3</f>
        <v>600</v>
      </c>
      <c r="H23" s="100">
        <f t="shared" si="18"/>
        <v>800</v>
      </c>
    </row>
    <row r="24">
      <c r="A24" s="127" t="s">
        <v>134</v>
      </c>
      <c r="B24" s="74" t="s">
        <v>135</v>
      </c>
      <c r="C24" s="69"/>
      <c r="D24" s="130" t="s">
        <v>3</v>
      </c>
      <c r="E24" s="99">
        <v>36.0</v>
      </c>
      <c r="F24" s="99">
        <v>40.0</v>
      </c>
      <c r="G24" s="100">
        <f t="shared" ref="G24:H24" si="19">E24*$C$3</f>
        <v>1800</v>
      </c>
      <c r="H24" s="100">
        <f t="shared" si="19"/>
        <v>2000</v>
      </c>
    </row>
    <row r="25">
      <c r="A25" s="127" t="s">
        <v>136</v>
      </c>
      <c r="B25" s="74" t="s">
        <v>137</v>
      </c>
      <c r="C25" s="69"/>
      <c r="D25" s="130" t="s">
        <v>3</v>
      </c>
      <c r="E25" s="99">
        <v>36.0</v>
      </c>
      <c r="F25" s="99">
        <v>40.0</v>
      </c>
      <c r="G25" s="100">
        <f t="shared" ref="G25:H25" si="20">E25*$C$3</f>
        <v>1800</v>
      </c>
      <c r="H25" s="100">
        <f t="shared" si="20"/>
        <v>2000</v>
      </c>
    </row>
    <row r="26">
      <c r="A26" s="127" t="s">
        <v>138</v>
      </c>
      <c r="B26" s="74" t="s">
        <v>139</v>
      </c>
      <c r="C26" s="69"/>
      <c r="D26" s="130" t="s">
        <v>3</v>
      </c>
      <c r="E26" s="99">
        <v>20.0</v>
      </c>
      <c r="F26" s="99">
        <v>24.0</v>
      </c>
      <c r="G26" s="100">
        <f t="shared" ref="G26:H26" si="21">E26*$C$3</f>
        <v>1000</v>
      </c>
      <c r="H26" s="100">
        <f t="shared" si="21"/>
        <v>1200</v>
      </c>
    </row>
    <row r="27">
      <c r="A27" s="127" t="s">
        <v>140</v>
      </c>
      <c r="B27" s="74" t="s">
        <v>141</v>
      </c>
      <c r="C27" s="69"/>
      <c r="D27" s="130" t="s">
        <v>3</v>
      </c>
      <c r="E27" s="99">
        <v>28.0</v>
      </c>
      <c r="F27" s="99">
        <v>32.0</v>
      </c>
      <c r="G27" s="100">
        <f t="shared" ref="G27:H27" si="22">E27*$C$3</f>
        <v>1400</v>
      </c>
      <c r="H27" s="100">
        <f t="shared" si="22"/>
        <v>1600</v>
      </c>
    </row>
    <row r="28">
      <c r="A28" s="127" t="s">
        <v>142</v>
      </c>
      <c r="B28" s="128" t="s">
        <v>143</v>
      </c>
      <c r="C28" s="69"/>
      <c r="D28" s="130" t="s">
        <v>3</v>
      </c>
      <c r="E28" s="99">
        <v>6.0</v>
      </c>
      <c r="F28" s="99">
        <v>8.0</v>
      </c>
      <c r="G28" s="100">
        <f t="shared" ref="G28:H28" si="23">E28*$C$3</f>
        <v>300</v>
      </c>
      <c r="H28" s="100">
        <f t="shared" si="23"/>
        <v>400</v>
      </c>
    </row>
    <row r="29">
      <c r="A29" s="127" t="s">
        <v>144</v>
      </c>
      <c r="B29" s="128" t="s">
        <v>145</v>
      </c>
      <c r="C29" s="69"/>
      <c r="D29" s="131" t="s">
        <v>48</v>
      </c>
      <c r="E29" s="99">
        <v>96.0</v>
      </c>
      <c r="F29" s="99">
        <v>104.0</v>
      </c>
      <c r="G29" s="100">
        <f t="shared" ref="G29:H29" si="24">E29*$C$3</f>
        <v>4800</v>
      </c>
      <c r="H29" s="100">
        <f t="shared" si="24"/>
        <v>5200</v>
      </c>
    </row>
    <row r="30" ht="1.5" customHeight="1">
      <c r="A30" s="136"/>
      <c r="B30" s="137"/>
      <c r="C30" s="114"/>
      <c r="D30" s="131" t="s">
        <v>48</v>
      </c>
      <c r="E30" s="114"/>
      <c r="F30" s="114"/>
      <c r="G30" s="116"/>
      <c r="H30" s="116"/>
    </row>
    <row r="31">
      <c r="A31" s="117"/>
      <c r="B31" s="118"/>
      <c r="C31" s="119"/>
      <c r="D31" s="119"/>
      <c r="E31" s="119"/>
      <c r="F31" s="119"/>
      <c r="G31" s="121"/>
      <c r="H31" s="121"/>
    </row>
  </sheetData>
  <mergeCells count="27">
    <mergeCell ref="A1:H1"/>
    <mergeCell ref="B4:C4"/>
    <mergeCell ref="B5:C5"/>
    <mergeCell ref="B6:C6"/>
    <mergeCell ref="B7:C7"/>
    <mergeCell ref="B8:C8"/>
    <mergeCell ref="B10:H10"/>
    <mergeCell ref="B13:H13"/>
    <mergeCell ref="B9:C9"/>
    <mergeCell ref="B11:C11"/>
    <mergeCell ref="B12:C12"/>
    <mergeCell ref="B14:C14"/>
    <mergeCell ref="B15:C15"/>
    <mergeCell ref="B16:C16"/>
    <mergeCell ref="B17:C17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H22"/>
    <mergeCell ref="B23:C23"/>
    <mergeCell ref="B24:C24"/>
  </mergeCells>
  <dataValidations>
    <dataValidation type="list" allowBlank="1" showErrorMessage="1" sqref="D4:D9 D11:D12 D14:D21 D23:D30">
      <formula1>"SPREAD,DISCOVERY,DIS &amp; DEV,DEVELOPMENT,DEV &amp; DEL,DELIVERY"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38" t="s">
        <v>18</v>
      </c>
      <c r="B3" s="139" t="s">
        <v>19</v>
      </c>
      <c r="C3" s="140">
        <v>55.0</v>
      </c>
      <c r="D3" s="140"/>
      <c r="E3" s="141">
        <f t="shared" ref="E3:H3" si="1">SUM(E4:E24)</f>
        <v>981</v>
      </c>
      <c r="F3" s="141">
        <f t="shared" si="1"/>
        <v>1320</v>
      </c>
      <c r="G3" s="142">
        <f t="shared" si="1"/>
        <v>53955</v>
      </c>
      <c r="H3" s="142">
        <f t="shared" si="1"/>
        <v>72600</v>
      </c>
    </row>
    <row r="4">
      <c r="A4" s="97" t="s">
        <v>146</v>
      </c>
      <c r="B4" s="68" t="s">
        <v>147</v>
      </c>
      <c r="C4" s="69"/>
      <c r="D4" s="70" t="s">
        <v>2</v>
      </c>
      <c r="E4" s="99">
        <v>10.0</v>
      </c>
      <c r="F4" s="99">
        <v>16.0</v>
      </c>
      <c r="G4" s="100">
        <f t="shared" ref="G4:H4" si="2">E4*$C$3</f>
        <v>550</v>
      </c>
      <c r="H4" s="100">
        <f t="shared" si="2"/>
        <v>880</v>
      </c>
    </row>
    <row r="5">
      <c r="A5" s="97" t="s">
        <v>148</v>
      </c>
      <c r="B5" s="68" t="s">
        <v>149</v>
      </c>
      <c r="C5" s="69"/>
      <c r="D5" s="102" t="s">
        <v>3</v>
      </c>
      <c r="E5" s="99">
        <v>10.0</v>
      </c>
      <c r="F5" s="99">
        <v>16.0</v>
      </c>
      <c r="G5" s="100">
        <f t="shared" ref="G5:H5" si="3">E5*$C$3</f>
        <v>550</v>
      </c>
      <c r="H5" s="100">
        <f t="shared" si="3"/>
        <v>880</v>
      </c>
    </row>
    <row r="6">
      <c r="A6" s="97" t="s">
        <v>150</v>
      </c>
      <c r="B6" s="103" t="s">
        <v>151</v>
      </c>
      <c r="C6" s="69"/>
      <c r="D6" s="143" t="s">
        <v>3</v>
      </c>
      <c r="E6" s="99">
        <v>42.0</v>
      </c>
      <c r="F6" s="99">
        <v>52.0</v>
      </c>
      <c r="G6" s="100">
        <f t="shared" ref="G6:H6" si="4">E6*$C$3</f>
        <v>2310</v>
      </c>
      <c r="H6" s="100">
        <f t="shared" si="4"/>
        <v>2860</v>
      </c>
    </row>
    <row r="7">
      <c r="A7" s="97" t="s">
        <v>152</v>
      </c>
      <c r="B7" s="144" t="s">
        <v>153</v>
      </c>
      <c r="C7" s="69"/>
      <c r="D7" s="143" t="s">
        <v>3</v>
      </c>
      <c r="E7" s="99">
        <v>40.0</v>
      </c>
      <c r="F7" s="99">
        <v>48.0</v>
      </c>
      <c r="G7" s="100">
        <f t="shared" ref="G7:H7" si="5">E7*$C$3</f>
        <v>2200</v>
      </c>
      <c r="H7" s="100">
        <f t="shared" si="5"/>
        <v>2640</v>
      </c>
    </row>
    <row r="8">
      <c r="A8" s="97" t="s">
        <v>154</v>
      </c>
      <c r="B8" s="103" t="s">
        <v>155</v>
      </c>
      <c r="C8" s="69"/>
      <c r="D8" s="143" t="s">
        <v>3</v>
      </c>
      <c r="E8" s="99">
        <v>60.0</v>
      </c>
      <c r="F8" s="99">
        <v>80.0</v>
      </c>
      <c r="G8" s="100">
        <f t="shared" ref="G8:H8" si="6">E8*$C$3</f>
        <v>3300</v>
      </c>
      <c r="H8" s="100">
        <f t="shared" si="6"/>
        <v>4400</v>
      </c>
    </row>
    <row r="9">
      <c r="A9" s="97" t="s">
        <v>156</v>
      </c>
      <c r="B9" s="144" t="s">
        <v>157</v>
      </c>
      <c r="C9" s="69"/>
      <c r="D9" s="143" t="s">
        <v>3</v>
      </c>
      <c r="E9" s="99">
        <v>32.0</v>
      </c>
      <c r="F9" s="99">
        <v>40.0</v>
      </c>
      <c r="G9" s="100">
        <f t="shared" ref="G9:H9" si="7">E9*$C$3</f>
        <v>1760</v>
      </c>
      <c r="H9" s="100">
        <f t="shared" si="7"/>
        <v>2200</v>
      </c>
    </row>
    <row r="10">
      <c r="A10" s="97" t="s">
        <v>158</v>
      </c>
      <c r="B10" s="103" t="s">
        <v>159</v>
      </c>
      <c r="C10" s="69"/>
      <c r="D10" s="143" t="s">
        <v>3</v>
      </c>
      <c r="E10" s="99">
        <v>60.0</v>
      </c>
      <c r="F10" s="99">
        <v>80.0</v>
      </c>
      <c r="G10" s="100">
        <f t="shared" ref="G10:H10" si="8">E10*$C$3</f>
        <v>3300</v>
      </c>
      <c r="H10" s="100">
        <f t="shared" si="8"/>
        <v>4400</v>
      </c>
    </row>
    <row r="11">
      <c r="A11" s="97" t="s">
        <v>160</v>
      </c>
      <c r="B11" s="103" t="s">
        <v>161</v>
      </c>
      <c r="C11" s="69"/>
      <c r="D11" s="143" t="s">
        <v>3</v>
      </c>
      <c r="E11" s="99">
        <v>60.0</v>
      </c>
      <c r="F11" s="99">
        <v>70.0</v>
      </c>
      <c r="G11" s="100">
        <f t="shared" ref="G11:H11" si="9">E11*$C$3</f>
        <v>3300</v>
      </c>
      <c r="H11" s="100">
        <f t="shared" si="9"/>
        <v>3850</v>
      </c>
    </row>
    <row r="12">
      <c r="A12" s="97" t="s">
        <v>162</v>
      </c>
      <c r="B12" s="144" t="s">
        <v>163</v>
      </c>
      <c r="C12" s="69"/>
      <c r="D12" s="143" t="s">
        <v>3</v>
      </c>
      <c r="E12" s="99">
        <v>32.0</v>
      </c>
      <c r="F12" s="99">
        <v>40.0</v>
      </c>
      <c r="G12" s="100">
        <f t="shared" ref="G12:H12" si="10">E12*$C$3</f>
        <v>1760</v>
      </c>
      <c r="H12" s="100">
        <f t="shared" si="10"/>
        <v>2200</v>
      </c>
    </row>
    <row r="13">
      <c r="A13" s="97" t="s">
        <v>164</v>
      </c>
      <c r="B13" s="144" t="s">
        <v>165</v>
      </c>
      <c r="C13" s="69"/>
      <c r="D13" s="143" t="s">
        <v>3</v>
      </c>
      <c r="E13" s="99">
        <v>70.0</v>
      </c>
      <c r="F13" s="99">
        <v>90.0</v>
      </c>
      <c r="G13" s="100">
        <f t="shared" ref="G13:H13" si="11">E13*$C$3</f>
        <v>3850</v>
      </c>
      <c r="H13" s="100">
        <f t="shared" si="11"/>
        <v>4950</v>
      </c>
    </row>
    <row r="14">
      <c r="A14" s="97" t="s">
        <v>166</v>
      </c>
      <c r="B14" s="144" t="s">
        <v>167</v>
      </c>
      <c r="C14" s="69"/>
      <c r="D14" s="143" t="s">
        <v>3</v>
      </c>
      <c r="E14" s="99">
        <v>100.0</v>
      </c>
      <c r="F14" s="99">
        <v>120.0</v>
      </c>
      <c r="G14" s="100">
        <f t="shared" ref="G14:H14" si="12">E14*$C$3</f>
        <v>5500</v>
      </c>
      <c r="H14" s="100">
        <f t="shared" si="12"/>
        <v>6600</v>
      </c>
    </row>
    <row r="15">
      <c r="A15" s="97" t="s">
        <v>168</v>
      </c>
      <c r="B15" s="103" t="s">
        <v>169</v>
      </c>
      <c r="C15" s="69"/>
      <c r="D15" s="143" t="s">
        <v>3</v>
      </c>
      <c r="E15" s="99">
        <v>60.0</v>
      </c>
      <c r="F15" s="99">
        <v>80.0</v>
      </c>
      <c r="G15" s="100">
        <f t="shared" ref="G15:H15" si="13">E15*$C$3</f>
        <v>3300</v>
      </c>
      <c r="H15" s="100">
        <f t="shared" si="13"/>
        <v>4400</v>
      </c>
    </row>
    <row r="16">
      <c r="A16" s="97" t="s">
        <v>170</v>
      </c>
      <c r="B16" s="103" t="s">
        <v>171</v>
      </c>
      <c r="C16" s="69"/>
      <c r="D16" s="143" t="s">
        <v>3</v>
      </c>
      <c r="E16" s="99">
        <v>40.0</v>
      </c>
      <c r="F16" s="99">
        <v>60.0</v>
      </c>
      <c r="G16" s="100">
        <f t="shared" ref="G16:H16" si="14">E16*$C$3</f>
        <v>2200</v>
      </c>
      <c r="H16" s="100">
        <f t="shared" si="14"/>
        <v>3300</v>
      </c>
    </row>
    <row r="17">
      <c r="A17" s="97" t="s">
        <v>172</v>
      </c>
      <c r="B17" s="144" t="s">
        <v>173</v>
      </c>
      <c r="C17" s="69"/>
      <c r="D17" s="143" t="s">
        <v>3</v>
      </c>
      <c r="E17" s="99">
        <v>140.0</v>
      </c>
      <c r="F17" s="99">
        <v>180.0</v>
      </c>
      <c r="G17" s="100">
        <f t="shared" ref="G17:H17" si="15">E17*$C$3</f>
        <v>7700</v>
      </c>
      <c r="H17" s="100">
        <f t="shared" si="15"/>
        <v>9900</v>
      </c>
    </row>
    <row r="18">
      <c r="A18" s="97" t="s">
        <v>174</v>
      </c>
      <c r="B18" s="144" t="s">
        <v>175</v>
      </c>
      <c r="C18" s="69"/>
      <c r="D18" s="143" t="s">
        <v>3</v>
      </c>
      <c r="E18" s="99">
        <v>55.0</v>
      </c>
      <c r="F18" s="99">
        <v>80.0</v>
      </c>
      <c r="G18" s="100">
        <f t="shared" ref="G18:H18" si="16">E18*$C$3</f>
        <v>3025</v>
      </c>
      <c r="H18" s="100">
        <f t="shared" si="16"/>
        <v>4400</v>
      </c>
    </row>
    <row r="19">
      <c r="A19" s="97" t="s">
        <v>176</v>
      </c>
      <c r="B19" s="103" t="s">
        <v>177</v>
      </c>
      <c r="C19" s="69"/>
      <c r="D19" s="143" t="s">
        <v>3</v>
      </c>
      <c r="E19" s="99">
        <v>24.0</v>
      </c>
      <c r="F19" s="99">
        <v>32.0</v>
      </c>
      <c r="G19" s="100">
        <f t="shared" ref="G19:H19" si="17">E19*$C$3</f>
        <v>1320</v>
      </c>
      <c r="H19" s="100">
        <f t="shared" si="17"/>
        <v>1760</v>
      </c>
    </row>
    <row r="20">
      <c r="A20" s="97" t="s">
        <v>178</v>
      </c>
      <c r="B20" s="144" t="s">
        <v>179</v>
      </c>
      <c r="C20" s="69"/>
      <c r="D20" s="143" t="s">
        <v>3</v>
      </c>
      <c r="E20" s="99">
        <v>24.0</v>
      </c>
      <c r="F20" s="99">
        <v>40.0</v>
      </c>
      <c r="G20" s="100">
        <f t="shared" ref="G20:H20" si="18">E20*$C$3</f>
        <v>1320</v>
      </c>
      <c r="H20" s="100">
        <f t="shared" si="18"/>
        <v>2200</v>
      </c>
    </row>
    <row r="21">
      <c r="A21" s="97" t="s">
        <v>180</v>
      </c>
      <c r="B21" s="145" t="s">
        <v>181</v>
      </c>
      <c r="C21" s="69"/>
      <c r="D21" s="146" t="s">
        <v>48</v>
      </c>
      <c r="E21" s="99">
        <v>70.0</v>
      </c>
      <c r="F21" s="99">
        <v>90.0</v>
      </c>
      <c r="G21" s="100">
        <f t="shared" ref="G21:H21" si="19">E21*$C$3</f>
        <v>3850</v>
      </c>
      <c r="H21" s="100">
        <f t="shared" si="19"/>
        <v>4950</v>
      </c>
    </row>
    <row r="22">
      <c r="A22" s="97" t="s">
        <v>182</v>
      </c>
      <c r="B22" s="103" t="s">
        <v>183</v>
      </c>
      <c r="C22" s="69"/>
      <c r="D22" s="143" t="s">
        <v>48</v>
      </c>
      <c r="E22" s="99">
        <v>40.0</v>
      </c>
      <c r="F22" s="99">
        <v>90.0</v>
      </c>
      <c r="G22" s="100">
        <f t="shared" ref="G22:H22" si="20">E22*$C$3</f>
        <v>2200</v>
      </c>
      <c r="H22" s="100">
        <f t="shared" si="20"/>
        <v>4950</v>
      </c>
    </row>
    <row r="23">
      <c r="A23" s="97" t="s">
        <v>184</v>
      </c>
      <c r="B23" s="147" t="s">
        <v>185</v>
      </c>
      <c r="C23" s="107"/>
      <c r="D23" s="102" t="s">
        <v>48</v>
      </c>
      <c r="E23" s="99">
        <v>12.0</v>
      </c>
      <c r="F23" s="99">
        <v>16.0</v>
      </c>
      <c r="G23" s="100">
        <f t="shared" ref="G23:H23" si="21">E23*$C$3</f>
        <v>660</v>
      </c>
      <c r="H23" s="100">
        <f t="shared" si="21"/>
        <v>880</v>
      </c>
    </row>
    <row r="24" ht="1.5" customHeight="1">
      <c r="A24" s="112"/>
      <c r="B24" s="113"/>
      <c r="C24" s="114"/>
      <c r="D24" s="114"/>
      <c r="E24" s="114"/>
      <c r="F24" s="114"/>
      <c r="G24" s="116"/>
      <c r="H24" s="116"/>
    </row>
    <row r="25">
      <c r="A25" s="117"/>
      <c r="B25" s="118"/>
      <c r="C25" s="119"/>
      <c r="D25" s="119"/>
      <c r="E25" s="119"/>
      <c r="F25" s="119"/>
      <c r="G25" s="121"/>
      <c r="H25" s="121"/>
    </row>
  </sheetData>
  <mergeCells count="21">
    <mergeCell ref="A1:H1"/>
    <mergeCell ref="B4:C4"/>
    <mergeCell ref="B5:C5"/>
    <mergeCell ref="B6:C6"/>
    <mergeCell ref="B7:C7"/>
    <mergeCell ref="B8:C8"/>
    <mergeCell ref="B9:C9"/>
    <mergeCell ref="B17:C17"/>
    <mergeCell ref="B18:C18"/>
    <mergeCell ref="B19:C19"/>
    <mergeCell ref="B20:C20"/>
    <mergeCell ref="B21:C21"/>
    <mergeCell ref="B22:C22"/>
    <mergeCell ref="B23:C23"/>
    <mergeCell ref="B10:C10"/>
    <mergeCell ref="B11:C11"/>
    <mergeCell ref="B12:C12"/>
    <mergeCell ref="B13:C13"/>
    <mergeCell ref="B14:C14"/>
    <mergeCell ref="B15:C15"/>
    <mergeCell ref="B16:C16"/>
  </mergeCells>
  <dataValidations>
    <dataValidation type="list" allowBlank="1" showErrorMessage="1" sqref="D4:D23">
      <formula1>"SPREAD,DISCOVERY,DIS &amp; DEV,DEVELOPMENT,DEV &amp; DEL,DELIVERY"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48"/>
      <c r="B3" s="149" t="s">
        <v>186</v>
      </c>
      <c r="C3" s="150">
        <v>55.0</v>
      </c>
      <c r="D3" s="150"/>
      <c r="E3" s="151">
        <f t="shared" ref="E3:H3" si="1">SUM(E4:E9)</f>
        <v>206</v>
      </c>
      <c r="F3" s="151">
        <f t="shared" si="1"/>
        <v>280</v>
      </c>
      <c r="G3" s="152">
        <f t="shared" si="1"/>
        <v>11330</v>
      </c>
      <c r="H3" s="152">
        <f t="shared" si="1"/>
        <v>15400</v>
      </c>
    </row>
    <row r="4">
      <c r="A4" s="97"/>
      <c r="B4" s="68" t="s">
        <v>187</v>
      </c>
      <c r="C4" s="69"/>
      <c r="D4" s="70" t="s">
        <v>58</v>
      </c>
      <c r="E4" s="99">
        <v>8.0</v>
      </c>
      <c r="F4" s="99">
        <v>12.0</v>
      </c>
      <c r="G4" s="100">
        <f t="shared" ref="G4:H4" si="2">E4*$C$3</f>
        <v>440</v>
      </c>
      <c r="H4" s="100">
        <f t="shared" si="2"/>
        <v>660</v>
      </c>
    </row>
    <row r="5">
      <c r="A5" s="97"/>
      <c r="B5" s="153" t="s">
        <v>188</v>
      </c>
      <c r="C5" s="69"/>
      <c r="D5" s="143" t="s">
        <v>3</v>
      </c>
      <c r="E5" s="99">
        <v>160.0</v>
      </c>
      <c r="F5" s="99">
        <v>220.0</v>
      </c>
      <c r="G5" s="100">
        <f t="shared" ref="G5:H5" si="3">E5*$C$3</f>
        <v>8800</v>
      </c>
      <c r="H5" s="100">
        <f t="shared" si="3"/>
        <v>12100</v>
      </c>
    </row>
    <row r="6">
      <c r="A6" s="97"/>
      <c r="B6" s="68" t="s">
        <v>189</v>
      </c>
      <c r="C6" s="69"/>
      <c r="D6" s="73" t="s">
        <v>48</v>
      </c>
      <c r="E6" s="99">
        <v>12.0</v>
      </c>
      <c r="F6" s="99">
        <v>16.0</v>
      </c>
      <c r="G6" s="100">
        <f t="shared" ref="G6:H6" si="4">E6*$C$3</f>
        <v>660</v>
      </c>
      <c r="H6" s="100">
        <f t="shared" si="4"/>
        <v>880</v>
      </c>
    </row>
    <row r="7">
      <c r="A7" s="97"/>
      <c r="B7" s="68" t="s">
        <v>190</v>
      </c>
      <c r="C7" s="69"/>
      <c r="D7" s="73" t="s">
        <v>48</v>
      </c>
      <c r="E7" s="99">
        <v>20.0</v>
      </c>
      <c r="F7" s="99">
        <v>24.0</v>
      </c>
      <c r="G7" s="100">
        <f t="shared" ref="G7:H7" si="5">E7*$C$3</f>
        <v>1100</v>
      </c>
      <c r="H7" s="100">
        <f t="shared" si="5"/>
        <v>1320</v>
      </c>
    </row>
    <row r="8">
      <c r="A8" s="97"/>
      <c r="B8" s="103" t="s">
        <v>191</v>
      </c>
      <c r="C8" s="69"/>
      <c r="D8" s="73" t="s">
        <v>48</v>
      </c>
      <c r="E8" s="99">
        <v>6.0</v>
      </c>
      <c r="F8" s="99">
        <v>8.0</v>
      </c>
      <c r="G8" s="100">
        <f t="shared" ref="G8:H8" si="6">E8*$C$3</f>
        <v>330</v>
      </c>
      <c r="H8" s="100">
        <f t="shared" si="6"/>
        <v>440</v>
      </c>
    </row>
    <row r="9" ht="1.5" customHeight="1">
      <c r="A9" s="112"/>
      <c r="B9" s="113"/>
      <c r="C9" s="114"/>
      <c r="D9" s="114"/>
      <c r="E9" s="114"/>
      <c r="F9" s="114"/>
      <c r="G9" s="116"/>
      <c r="H9" s="116"/>
    </row>
    <row r="10">
      <c r="A10" s="117"/>
      <c r="B10" s="118"/>
      <c r="C10" s="119"/>
      <c r="D10" s="119"/>
      <c r="E10" s="119"/>
      <c r="F10" s="119"/>
      <c r="G10" s="121"/>
      <c r="H10" s="121"/>
    </row>
  </sheetData>
  <mergeCells count="6">
    <mergeCell ref="A1:H1"/>
    <mergeCell ref="B4:C4"/>
    <mergeCell ref="B5:C5"/>
    <mergeCell ref="B6:C6"/>
    <mergeCell ref="B7:C7"/>
    <mergeCell ref="B8:C8"/>
  </mergeCells>
  <dataValidations>
    <dataValidation type="list" allowBlank="1" showErrorMessage="1" sqref="D4:D8">
      <formula1>"SPREAD,DISCOVERY,DIS &amp; DEV,DEVELOPMENT,DEV &amp; DEL,DELIVERY"</formula1>
    </dataValidation>
  </dataValidations>
  <hyperlinks>
    <hyperlink r:id="rId4" ref="B5"/>
  </hyperlink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54"/>
      <c r="B3" s="155" t="s">
        <v>192</v>
      </c>
      <c r="C3" s="156">
        <v>45.0</v>
      </c>
      <c r="D3" s="156"/>
      <c r="E3" s="157">
        <f t="shared" ref="E3:H3" si="1">SUM(E4:E9)</f>
        <v>102</v>
      </c>
      <c r="F3" s="157">
        <f t="shared" si="1"/>
        <v>132</v>
      </c>
      <c r="G3" s="158">
        <f t="shared" si="1"/>
        <v>4590</v>
      </c>
      <c r="H3" s="158">
        <f t="shared" si="1"/>
        <v>5940</v>
      </c>
    </row>
    <row r="4">
      <c r="A4" s="97"/>
      <c r="B4" s="98" t="s">
        <v>193</v>
      </c>
      <c r="C4" s="69"/>
      <c r="D4" s="159" t="s">
        <v>3</v>
      </c>
      <c r="E4" s="99">
        <v>16.0</v>
      </c>
      <c r="F4" s="99">
        <v>20.0</v>
      </c>
      <c r="G4" s="100">
        <f t="shared" ref="G4:H4" si="2">E4*$C$3</f>
        <v>720</v>
      </c>
      <c r="H4" s="100">
        <f t="shared" si="2"/>
        <v>900</v>
      </c>
    </row>
    <row r="5">
      <c r="A5" s="97"/>
      <c r="B5" s="98" t="s">
        <v>194</v>
      </c>
      <c r="C5" s="69"/>
      <c r="D5" s="159" t="s">
        <v>3</v>
      </c>
      <c r="E5" s="99">
        <v>32.0</v>
      </c>
      <c r="F5" s="99">
        <v>40.0</v>
      </c>
      <c r="G5" s="100">
        <f t="shared" ref="G5:H5" si="3">E5*$C$3</f>
        <v>1440</v>
      </c>
      <c r="H5" s="100">
        <f t="shared" si="3"/>
        <v>1800</v>
      </c>
    </row>
    <row r="6">
      <c r="A6" s="97"/>
      <c r="B6" s="98" t="s">
        <v>195</v>
      </c>
      <c r="C6" s="69"/>
      <c r="D6" s="159" t="s">
        <v>3</v>
      </c>
      <c r="E6" s="99">
        <v>32.0</v>
      </c>
      <c r="F6" s="99">
        <v>40.0</v>
      </c>
      <c r="G6" s="100">
        <f t="shared" ref="G6:H6" si="4">E6*$C$3</f>
        <v>1440</v>
      </c>
      <c r="H6" s="100">
        <f t="shared" si="4"/>
        <v>1800</v>
      </c>
    </row>
    <row r="7">
      <c r="A7" s="97"/>
      <c r="B7" s="160" t="s">
        <v>196</v>
      </c>
      <c r="C7" s="107"/>
      <c r="D7" s="143" t="s">
        <v>3</v>
      </c>
      <c r="E7" s="161">
        <v>16.0</v>
      </c>
      <c r="F7" s="161">
        <v>24.0</v>
      </c>
      <c r="G7" s="100">
        <f t="shared" ref="G7:H7" si="5">E7*$C$3</f>
        <v>720</v>
      </c>
      <c r="H7" s="100">
        <f t="shared" si="5"/>
        <v>1080</v>
      </c>
    </row>
    <row r="8">
      <c r="A8" s="97"/>
      <c r="B8" s="98" t="s">
        <v>197</v>
      </c>
      <c r="C8" s="69"/>
      <c r="D8" s="73" t="s">
        <v>4</v>
      </c>
      <c r="E8" s="99">
        <v>6.0</v>
      </c>
      <c r="F8" s="99">
        <v>8.0</v>
      </c>
      <c r="G8" s="100">
        <f t="shared" ref="G8:H8" si="6">E8*$C$3</f>
        <v>270</v>
      </c>
      <c r="H8" s="100">
        <f t="shared" si="6"/>
        <v>360</v>
      </c>
    </row>
    <row r="9" ht="1.5" customHeight="1">
      <c r="A9" s="112"/>
      <c r="B9" s="113"/>
      <c r="C9" s="114"/>
      <c r="D9" s="114"/>
      <c r="E9" s="114"/>
      <c r="F9" s="114"/>
      <c r="G9" s="116"/>
      <c r="H9" s="116"/>
    </row>
    <row r="10">
      <c r="A10" s="117"/>
      <c r="B10" s="118"/>
      <c r="C10" s="119"/>
      <c r="D10" s="119"/>
      <c r="E10" s="119"/>
      <c r="F10" s="119"/>
      <c r="G10" s="121"/>
      <c r="H10" s="121"/>
    </row>
  </sheetData>
  <mergeCells count="6">
    <mergeCell ref="A1:H1"/>
    <mergeCell ref="B4:C4"/>
    <mergeCell ref="B5:C5"/>
    <mergeCell ref="B6:C6"/>
    <mergeCell ref="B7:C7"/>
    <mergeCell ref="B8:C8"/>
  </mergeCells>
  <dataValidations>
    <dataValidation type="list" allowBlank="1" showErrorMessage="1" sqref="D4:D8">
      <formula1>"SPREAD,DISCOVERY,DIS &amp; DEV,DEVELOPMENT,DEV &amp; DEL,DELIVERY"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62"/>
      <c r="B3" s="163" t="s">
        <v>25</v>
      </c>
      <c r="C3" s="164">
        <v>45.0</v>
      </c>
      <c r="D3" s="164"/>
      <c r="E3" s="165">
        <f t="shared" ref="E3:H3" si="1">SUM(E4:E9)</f>
        <v>722</v>
      </c>
      <c r="F3" s="165">
        <f t="shared" si="1"/>
        <v>876</v>
      </c>
      <c r="G3" s="166">
        <f t="shared" si="1"/>
        <v>32490</v>
      </c>
      <c r="H3" s="166">
        <f t="shared" si="1"/>
        <v>39420</v>
      </c>
    </row>
    <row r="4">
      <c r="A4" s="97"/>
      <c r="B4" s="98" t="s">
        <v>198</v>
      </c>
      <c r="C4" s="69"/>
      <c r="D4" s="70" t="s">
        <v>2</v>
      </c>
      <c r="E4" s="167">
        <v>54.0</v>
      </c>
      <c r="F4" s="167">
        <v>66.0</v>
      </c>
      <c r="G4" s="100">
        <f t="shared" ref="G4:H4" si="2">E4*$C$3</f>
        <v>2430</v>
      </c>
      <c r="H4" s="100">
        <f t="shared" si="2"/>
        <v>2970</v>
      </c>
    </row>
    <row r="5">
      <c r="A5" s="97"/>
      <c r="B5" s="98" t="s">
        <v>199</v>
      </c>
      <c r="C5" s="69"/>
      <c r="D5" s="73" t="s">
        <v>58</v>
      </c>
      <c r="E5" s="99">
        <v>68.0</v>
      </c>
      <c r="F5" s="99">
        <v>76.0</v>
      </c>
      <c r="G5" s="100">
        <f t="shared" ref="G5:H5" si="3">E5*$C$3</f>
        <v>3060</v>
      </c>
      <c r="H5" s="100">
        <f t="shared" si="3"/>
        <v>3420</v>
      </c>
    </row>
    <row r="6">
      <c r="A6" s="97"/>
      <c r="B6" s="98" t="s">
        <v>200</v>
      </c>
      <c r="C6" s="69"/>
      <c r="D6" s="73" t="s">
        <v>48</v>
      </c>
      <c r="E6" s="99">
        <v>96.0</v>
      </c>
      <c r="F6" s="99">
        <v>134.0</v>
      </c>
      <c r="G6" s="100">
        <f t="shared" ref="G6:H6" si="4">E6*$C$3</f>
        <v>4320</v>
      </c>
      <c r="H6" s="100">
        <f t="shared" si="4"/>
        <v>6030</v>
      </c>
    </row>
    <row r="7">
      <c r="A7" s="97"/>
      <c r="B7" s="168" t="s">
        <v>201</v>
      </c>
      <c r="C7" s="107"/>
      <c r="D7" s="73" t="s">
        <v>48</v>
      </c>
      <c r="E7" s="99">
        <v>480.0</v>
      </c>
      <c r="F7" s="99">
        <v>560.0</v>
      </c>
      <c r="G7" s="100">
        <f t="shared" ref="G7:H7" si="5">E7*$C$3</f>
        <v>21600</v>
      </c>
      <c r="H7" s="100">
        <f t="shared" si="5"/>
        <v>25200</v>
      </c>
    </row>
    <row r="8">
      <c r="A8" s="97"/>
      <c r="B8" s="68" t="s">
        <v>202</v>
      </c>
      <c r="C8" s="69"/>
      <c r="D8" s="102" t="s">
        <v>48</v>
      </c>
      <c r="E8" s="99">
        <v>24.0</v>
      </c>
      <c r="F8" s="99">
        <v>40.0</v>
      </c>
      <c r="G8" s="100">
        <f t="shared" ref="G8:H8" si="6">E8*$C$3</f>
        <v>1080</v>
      </c>
      <c r="H8" s="100">
        <f t="shared" si="6"/>
        <v>1800</v>
      </c>
    </row>
    <row r="9" ht="1.5" customHeight="1">
      <c r="A9" s="112"/>
      <c r="B9" s="68"/>
      <c r="C9" s="69"/>
      <c r="D9" s="114"/>
      <c r="E9" s="114"/>
      <c r="F9" s="114"/>
      <c r="G9" s="116"/>
      <c r="H9" s="116"/>
    </row>
    <row r="10">
      <c r="A10" s="117"/>
      <c r="B10" s="118"/>
      <c r="C10" s="119"/>
      <c r="D10" s="119"/>
      <c r="E10" s="119"/>
      <c r="F10" s="119"/>
      <c r="G10" s="121"/>
      <c r="H10" s="121"/>
    </row>
  </sheetData>
  <mergeCells count="7">
    <mergeCell ref="A1:H1"/>
    <mergeCell ref="B4:C4"/>
    <mergeCell ref="B5:C5"/>
    <mergeCell ref="B6:C6"/>
    <mergeCell ref="B7:C7"/>
    <mergeCell ref="B8:C8"/>
    <mergeCell ref="B9:C9"/>
  </mergeCells>
  <dataValidations>
    <dataValidation type="list" allowBlank="1" showErrorMessage="1" sqref="D4:D8">
      <formula1>"SPREAD,DISCOVERY,DIS &amp; DEV,DEVELOPMENT,DEV &amp; DEL,DELIVERY"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6.13"/>
    <col customWidth="1" min="3" max="3" width="8.13"/>
    <col customWidth="1" min="4" max="4" width="18.13"/>
    <col customWidth="1" min="5" max="8" width="6.75"/>
  </cols>
  <sheetData>
    <row r="1" ht="48.75" customHeight="1">
      <c r="A1" s="89" t="str">
        <f>'Общая смета'!B1</f>
        <v>ПРЕДВАРИТЕЛЬНАЯ ОЦЕНКА ТРУДОЗАТРАТ НА АГРЕГАТОР DEX В ТЕЛЕГРАМЕ</v>
      </c>
    </row>
    <row r="2">
      <c r="A2" s="90" t="s">
        <v>5</v>
      </c>
      <c r="B2" s="90" t="s">
        <v>37</v>
      </c>
      <c r="C2" s="60" t="s">
        <v>38</v>
      </c>
      <c r="D2" s="90" t="s">
        <v>39</v>
      </c>
      <c r="E2" s="90" t="s">
        <v>8</v>
      </c>
      <c r="F2" s="90" t="s">
        <v>9</v>
      </c>
      <c r="G2" s="90" t="s">
        <v>10</v>
      </c>
      <c r="H2" s="90" t="s">
        <v>11</v>
      </c>
    </row>
    <row r="3">
      <c r="A3" s="169"/>
      <c r="B3" s="170" t="s">
        <v>27</v>
      </c>
      <c r="C3" s="171">
        <v>45.0</v>
      </c>
      <c r="D3" s="171"/>
      <c r="E3" s="172">
        <f t="shared" ref="E3:H3" si="1">SUM(E4:E10)</f>
        <v>374</v>
      </c>
      <c r="F3" s="172">
        <f t="shared" si="1"/>
        <v>420</v>
      </c>
      <c r="G3" s="173">
        <f t="shared" si="1"/>
        <v>16830</v>
      </c>
      <c r="H3" s="173">
        <f t="shared" si="1"/>
        <v>18900</v>
      </c>
    </row>
    <row r="4">
      <c r="A4" s="97"/>
      <c r="B4" s="68" t="s">
        <v>203</v>
      </c>
      <c r="C4" s="69"/>
      <c r="D4" s="143" t="s">
        <v>2</v>
      </c>
      <c r="E4" s="99">
        <v>4.0</v>
      </c>
      <c r="F4" s="99">
        <v>8.0</v>
      </c>
      <c r="G4" s="100">
        <f t="shared" ref="G4:H4" si="2">E4*$C$3</f>
        <v>180</v>
      </c>
      <c r="H4" s="100">
        <f t="shared" si="2"/>
        <v>360</v>
      </c>
    </row>
    <row r="5">
      <c r="A5" s="97"/>
      <c r="B5" s="68" t="s">
        <v>204</v>
      </c>
      <c r="C5" s="69"/>
      <c r="D5" s="174" t="s">
        <v>51</v>
      </c>
      <c r="E5" s="99">
        <v>144.0</v>
      </c>
      <c r="F5" s="99">
        <v>152.0</v>
      </c>
      <c r="G5" s="100">
        <f t="shared" ref="G5:H5" si="3">E5*$C$3</f>
        <v>6480</v>
      </c>
      <c r="H5" s="100">
        <f t="shared" si="3"/>
        <v>6840</v>
      </c>
    </row>
    <row r="6">
      <c r="A6" s="97"/>
      <c r="B6" s="68" t="s">
        <v>205</v>
      </c>
      <c r="C6" s="69"/>
      <c r="D6" s="174" t="s">
        <v>58</v>
      </c>
      <c r="E6" s="99">
        <v>144.0</v>
      </c>
      <c r="F6" s="99">
        <v>152.0</v>
      </c>
      <c r="G6" s="100">
        <f t="shared" ref="G6:H6" si="4">E6*$C$3</f>
        <v>6480</v>
      </c>
      <c r="H6" s="100">
        <f t="shared" si="4"/>
        <v>6840</v>
      </c>
    </row>
    <row r="7">
      <c r="A7" s="97"/>
      <c r="B7" s="68" t="s">
        <v>206</v>
      </c>
      <c r="C7" s="69"/>
      <c r="D7" s="174" t="s">
        <v>51</v>
      </c>
      <c r="E7" s="99">
        <v>24.0</v>
      </c>
      <c r="F7" s="99">
        <v>32.0</v>
      </c>
      <c r="G7" s="100">
        <f t="shared" ref="G7:H7" si="5">E7*$C$3</f>
        <v>1080</v>
      </c>
      <c r="H7" s="100">
        <f t="shared" si="5"/>
        <v>1440</v>
      </c>
    </row>
    <row r="8">
      <c r="A8" s="97"/>
      <c r="B8" s="68" t="s">
        <v>207</v>
      </c>
      <c r="C8" s="69"/>
      <c r="D8" s="174" t="s">
        <v>51</v>
      </c>
      <c r="E8" s="99">
        <v>40.0</v>
      </c>
      <c r="F8" s="99">
        <v>52.0</v>
      </c>
      <c r="G8" s="100">
        <f t="shared" ref="G8:H8" si="6">E8*$C$3</f>
        <v>1800</v>
      </c>
      <c r="H8" s="100">
        <f t="shared" si="6"/>
        <v>2340</v>
      </c>
    </row>
    <row r="9">
      <c r="A9" s="97"/>
      <c r="B9" s="68" t="s">
        <v>208</v>
      </c>
      <c r="C9" s="69"/>
      <c r="D9" s="174" t="s">
        <v>4</v>
      </c>
      <c r="E9" s="99">
        <v>18.0</v>
      </c>
      <c r="F9" s="99">
        <v>24.0</v>
      </c>
      <c r="G9" s="100">
        <f t="shared" ref="G9:H9" si="7">E9*$C$3</f>
        <v>810</v>
      </c>
      <c r="H9" s="100">
        <f t="shared" si="7"/>
        <v>1080</v>
      </c>
    </row>
    <row r="10" ht="1.5" customHeight="1">
      <c r="A10" s="112"/>
      <c r="B10" s="113"/>
      <c r="C10" s="114"/>
      <c r="D10" s="114"/>
      <c r="E10" s="114"/>
      <c r="F10" s="114"/>
      <c r="G10" s="175"/>
      <c r="H10" s="175"/>
    </row>
    <row r="11">
      <c r="A11" s="117"/>
      <c r="B11" s="118"/>
      <c r="C11" s="119"/>
      <c r="D11" s="119"/>
      <c r="E11" s="119"/>
      <c r="F11" s="119"/>
      <c r="G11" s="176"/>
      <c r="H11" s="176"/>
    </row>
  </sheetData>
  <mergeCells count="7">
    <mergeCell ref="A1:H1"/>
    <mergeCell ref="B4:C4"/>
    <mergeCell ref="B5:C5"/>
    <mergeCell ref="B6:C6"/>
    <mergeCell ref="B7:C7"/>
    <mergeCell ref="B8:C8"/>
    <mergeCell ref="B9:C9"/>
  </mergeCells>
  <dataValidations>
    <dataValidation type="list" allowBlank="1" showErrorMessage="1" sqref="D4:D9">
      <formula1>"SPREAD,DISCOVERY,DIS &amp; DEV,DEVELOPMENT,DEV &amp; DEL,DELIVERY"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25"/>
  </cols>
  <sheetData>
    <row r="1" ht="34.5" customHeight="1">
      <c r="A1" s="177" t="s">
        <v>209</v>
      </c>
      <c r="B1" s="178" t="s">
        <v>9</v>
      </c>
      <c r="C1" s="177" t="s">
        <v>210</v>
      </c>
      <c r="D1" s="178" t="s">
        <v>11</v>
      </c>
      <c r="E1" s="179" t="s">
        <v>209</v>
      </c>
      <c r="F1" s="180" t="s">
        <v>9</v>
      </c>
      <c r="G1" s="179" t="s">
        <v>210</v>
      </c>
      <c r="H1" s="180" t="s">
        <v>11</v>
      </c>
      <c r="I1" s="181" t="s">
        <v>209</v>
      </c>
      <c r="J1" s="182" t="s">
        <v>9</v>
      </c>
      <c r="K1" s="181" t="s">
        <v>210</v>
      </c>
      <c r="L1" s="182" t="s">
        <v>11</v>
      </c>
    </row>
    <row r="2" ht="34.5" customHeight="1">
      <c r="A2" s="183">
        <f>'Общая смета'!D4</f>
        <v>78</v>
      </c>
      <c r="B2" s="184">
        <f>'Общая смета'!E4</f>
        <v>95</v>
      </c>
      <c r="C2" s="185">
        <f>'Общая смета'!F4</f>
        <v>3237</v>
      </c>
      <c r="D2" s="186">
        <f>'Общая смета'!G4</f>
        <v>3962</v>
      </c>
      <c r="E2" s="187">
        <f>'Общая смета'!H4</f>
        <v>38</v>
      </c>
      <c r="F2" s="188">
        <f>'Общая смета'!I4</f>
        <v>50</v>
      </c>
      <c r="G2" s="189">
        <f>'Общая смета'!J4</f>
        <v>1588</v>
      </c>
      <c r="H2" s="190">
        <f>'Общая смета'!K4</f>
        <v>2082</v>
      </c>
      <c r="I2" s="191">
        <f>'Общая смета'!L4</f>
        <v>4</v>
      </c>
      <c r="J2" s="192">
        <f>'Общая смета'!M4</f>
        <v>5</v>
      </c>
      <c r="K2" s="193">
        <f>'Общая смета'!N4</f>
        <v>133</v>
      </c>
      <c r="L2" s="194">
        <f>'Общая смета'!O4</f>
        <v>174</v>
      </c>
    </row>
    <row r="3" ht="34.5" customHeight="1">
      <c r="A3" s="183">
        <f>'Общая смета'!D5</f>
        <v>77</v>
      </c>
      <c r="B3" s="184">
        <f>'Общая смета'!E5</f>
        <v>108</v>
      </c>
      <c r="C3" s="185">
        <f>'Общая смета'!F5</f>
        <v>3450</v>
      </c>
      <c r="D3" s="186">
        <f>'Общая смета'!G5</f>
        <v>4830</v>
      </c>
      <c r="E3" s="187">
        <f>'Общая смета'!H5</f>
        <v>104</v>
      </c>
      <c r="F3" s="188">
        <f>'Общая смета'!I5</f>
        <v>135</v>
      </c>
      <c r="G3" s="189">
        <f>'Общая смета'!J5</f>
        <v>4650</v>
      </c>
      <c r="H3" s="190">
        <f>'Общая смета'!K5</f>
        <v>6060</v>
      </c>
      <c r="I3" s="191">
        <f>'Общая смета'!L5</f>
        <v>0</v>
      </c>
      <c r="J3" s="192">
        <f>'Общая смета'!M5</f>
        <v>0</v>
      </c>
      <c r="K3" s="193">
        <f>'Общая смета'!N5</f>
        <v>0</v>
      </c>
      <c r="L3" s="194">
        <f>'Общая смета'!O5</f>
        <v>0</v>
      </c>
    </row>
    <row r="4" ht="34.5" customHeight="1">
      <c r="A4" s="183">
        <f>'Общая смета'!D6</f>
        <v>4</v>
      </c>
      <c r="B4" s="184">
        <f>'Общая смета'!E6</f>
        <v>6</v>
      </c>
      <c r="C4" s="185">
        <f>'Общая смета'!F6</f>
        <v>200</v>
      </c>
      <c r="D4" s="186">
        <f>'Общая смета'!G6</f>
        <v>300</v>
      </c>
      <c r="E4" s="187">
        <f>'Общая смета'!H6</f>
        <v>729</v>
      </c>
      <c r="F4" s="188">
        <f>'Общая смета'!I6</f>
        <v>870</v>
      </c>
      <c r="G4" s="189">
        <f>'Общая смета'!J6</f>
        <v>36431</v>
      </c>
      <c r="H4" s="190">
        <f>'Общая смета'!K6</f>
        <v>43500</v>
      </c>
      <c r="I4" s="191">
        <f>'Общая смета'!L6</f>
        <v>8</v>
      </c>
      <c r="J4" s="192">
        <f>'Общая смета'!M6</f>
        <v>8</v>
      </c>
      <c r="K4" s="193">
        <f>'Общая смета'!N6</f>
        <v>370</v>
      </c>
      <c r="L4" s="194">
        <f>'Общая смета'!O6</f>
        <v>400</v>
      </c>
    </row>
    <row r="5" ht="34.5" customHeight="1">
      <c r="A5" s="183">
        <f>'Общая смета'!D7</f>
        <v>10</v>
      </c>
      <c r="B5" s="184">
        <f>'Общая смета'!E7</f>
        <v>16</v>
      </c>
      <c r="C5" s="185">
        <f>'Общая смета'!F7</f>
        <v>550</v>
      </c>
      <c r="D5" s="186">
        <f>'Общая смета'!G7</f>
        <v>880</v>
      </c>
      <c r="E5" s="187">
        <f>'Общая смета'!H7</f>
        <v>962</v>
      </c>
      <c r="F5" s="188">
        <f>'Общая смета'!I7</f>
        <v>1289</v>
      </c>
      <c r="G5" s="189">
        <f>'Общая смета'!J7</f>
        <v>52889</v>
      </c>
      <c r="H5" s="190">
        <f>'Общая смета'!K7</f>
        <v>70891</v>
      </c>
      <c r="I5" s="191">
        <f>'Общая смета'!L7</f>
        <v>10</v>
      </c>
      <c r="J5" s="192">
        <f>'Общая смета'!M7</f>
        <v>16</v>
      </c>
      <c r="K5" s="193">
        <f>'Общая смета'!N7</f>
        <v>517</v>
      </c>
      <c r="L5" s="194">
        <f>'Общая смета'!O7</f>
        <v>830</v>
      </c>
    </row>
    <row r="6" ht="34.5" customHeight="1">
      <c r="A6" s="183" t="str">
        <f t="shared" ref="A6:L6" si="1">#REF!</f>
        <v>#REF!</v>
      </c>
      <c r="B6" s="184" t="str">
        <f t="shared" si="1"/>
        <v>#REF!</v>
      </c>
      <c r="C6" s="195" t="str">
        <f t="shared" si="1"/>
        <v>#REF!</v>
      </c>
      <c r="D6" s="196" t="str">
        <f t="shared" si="1"/>
        <v>#REF!</v>
      </c>
      <c r="E6" s="187" t="str">
        <f t="shared" si="1"/>
        <v>#REF!</v>
      </c>
      <c r="F6" s="188" t="str">
        <f t="shared" si="1"/>
        <v>#REF!</v>
      </c>
      <c r="G6" s="197" t="str">
        <f t="shared" si="1"/>
        <v>#REF!</v>
      </c>
      <c r="H6" s="198" t="str">
        <f t="shared" si="1"/>
        <v>#REF!</v>
      </c>
      <c r="I6" s="191" t="str">
        <f t="shared" si="1"/>
        <v>#REF!</v>
      </c>
      <c r="J6" s="192" t="str">
        <f t="shared" si="1"/>
        <v>#REF!</v>
      </c>
      <c r="K6" s="199" t="str">
        <f t="shared" si="1"/>
        <v>#REF!</v>
      </c>
      <c r="L6" s="200" t="str">
        <f t="shared" si="1"/>
        <v>#REF!</v>
      </c>
    </row>
    <row r="7" ht="34.5" customHeight="1">
      <c r="A7" s="183">
        <f>'Общая смета'!D8</f>
        <v>3</v>
      </c>
      <c r="B7" s="184">
        <f>'Общая смета'!E8</f>
        <v>4</v>
      </c>
      <c r="C7" s="185">
        <f>'Общая смета'!F8</f>
        <v>147</v>
      </c>
      <c r="D7" s="186">
        <f>'Общая смета'!G8</f>
        <v>220</v>
      </c>
      <c r="E7" s="187">
        <f>'Общая смета'!H8</f>
        <v>201</v>
      </c>
      <c r="F7" s="188">
        <f>'Общая смета'!I8</f>
        <v>273</v>
      </c>
      <c r="G7" s="189">
        <f>'Общая смета'!J8</f>
        <v>11023</v>
      </c>
      <c r="H7" s="190">
        <f>'Общая смета'!K8</f>
        <v>14977</v>
      </c>
      <c r="I7" s="191">
        <f>'Общая смета'!L8</f>
        <v>3</v>
      </c>
      <c r="J7" s="192">
        <f>'Общая смета'!M8</f>
        <v>4</v>
      </c>
      <c r="K7" s="193">
        <f>'Общая смета'!N8</f>
        <v>161</v>
      </c>
      <c r="L7" s="194">
        <f>'Общая смета'!O8</f>
        <v>204</v>
      </c>
    </row>
    <row r="8" ht="34.5" customHeight="1">
      <c r="A8" s="183">
        <f>'Общая смета'!D9</f>
        <v>0</v>
      </c>
      <c r="B8" s="184">
        <f>'Общая смета'!E9</f>
        <v>0</v>
      </c>
      <c r="C8" s="185">
        <f>'Общая смета'!F9</f>
        <v>0</v>
      </c>
      <c r="D8" s="186">
        <f>'Общая смета'!G9</f>
        <v>0</v>
      </c>
      <c r="E8" s="187">
        <f>'Общая смета'!H9</f>
        <v>96</v>
      </c>
      <c r="F8" s="188">
        <f>'Общая смета'!I9</f>
        <v>124</v>
      </c>
      <c r="G8" s="189">
        <f>'Общая смета'!J9</f>
        <v>4320</v>
      </c>
      <c r="H8" s="190">
        <f>'Общая смета'!K9</f>
        <v>5580</v>
      </c>
      <c r="I8" s="191">
        <f>'Общая смета'!L9</f>
        <v>6</v>
      </c>
      <c r="J8" s="192">
        <f>'Общая смета'!M9</f>
        <v>8</v>
      </c>
      <c r="K8" s="193">
        <f>'Общая смета'!N9</f>
        <v>270</v>
      </c>
      <c r="L8" s="194">
        <f>'Общая смета'!O9</f>
        <v>360</v>
      </c>
    </row>
    <row r="9" ht="34.5" customHeight="1">
      <c r="A9" s="183">
        <f>'Общая смета'!D10</f>
        <v>77</v>
      </c>
      <c r="B9" s="184">
        <f>'Общая смета'!E10</f>
        <v>92</v>
      </c>
      <c r="C9" s="185">
        <f>'Общая смета'!F10</f>
        <v>3450</v>
      </c>
      <c r="D9" s="186">
        <f>'Общая смета'!G10</f>
        <v>4110</v>
      </c>
      <c r="E9" s="187">
        <f>'Общая смета'!H10</f>
        <v>600</v>
      </c>
      <c r="F9" s="188">
        <f>'Общая смета'!I10</f>
        <v>729</v>
      </c>
      <c r="G9" s="189">
        <f>'Общая смета'!J10</f>
        <v>26964</v>
      </c>
      <c r="H9" s="190">
        <f>'Общая смета'!K10</f>
        <v>32770</v>
      </c>
      <c r="I9" s="191">
        <f>'Общая смета'!L10</f>
        <v>47</v>
      </c>
      <c r="J9" s="192">
        <f>'Общая смета'!M10</f>
        <v>57</v>
      </c>
      <c r="K9" s="193">
        <f>'Общая смета'!N10</f>
        <v>2077</v>
      </c>
      <c r="L9" s="194">
        <f>'Общая смета'!O10</f>
        <v>2541</v>
      </c>
    </row>
    <row r="10" ht="34.5" customHeight="1">
      <c r="A10" s="183">
        <f>'Общая смета'!D11</f>
        <v>118</v>
      </c>
      <c r="B10" s="184">
        <f>'Общая смета'!E11</f>
        <v>134</v>
      </c>
      <c r="C10" s="185">
        <f>'Общая смета'!F11</f>
        <v>5296</v>
      </c>
      <c r="D10" s="186">
        <f>'Общая смета'!G11</f>
        <v>5994</v>
      </c>
      <c r="E10" s="187">
        <f>'Общая смета'!H11</f>
        <v>228</v>
      </c>
      <c r="F10" s="188">
        <f>'Общая смета'!I11</f>
        <v>251</v>
      </c>
      <c r="G10" s="189">
        <f>'Общая смета'!J11</f>
        <v>10232</v>
      </c>
      <c r="H10" s="190">
        <f>'Общая смета'!K11</f>
        <v>11268</v>
      </c>
      <c r="I10" s="191">
        <f>'Общая смета'!L11</f>
        <v>29</v>
      </c>
      <c r="J10" s="192">
        <f>'Общая смета'!M11</f>
        <v>37</v>
      </c>
      <c r="K10" s="193">
        <f>'Общая смета'!N11</f>
        <v>1303</v>
      </c>
      <c r="L10" s="194">
        <f>'Общая смета'!O11</f>
        <v>1639</v>
      </c>
    </row>
    <row r="11" ht="34.5" customHeight="1">
      <c r="A11" s="201" t="str">
        <f>'Общая смета'!D13</f>
        <v>16330$ - 20296$</v>
      </c>
      <c r="B11" s="202"/>
      <c r="C11" s="202"/>
      <c r="D11" s="203"/>
      <c r="E11" s="204" t="str">
        <f>'Общая смета'!H13</f>
        <v>148097$ - 187128$</v>
      </c>
      <c r="F11" s="202"/>
      <c r="G11" s="202"/>
      <c r="H11" s="203"/>
      <c r="I11" s="205" t="str">
        <f>'Общая смета'!L13</f>
        <v>4831$ - 6148$</v>
      </c>
      <c r="J11" s="202"/>
      <c r="K11" s="202"/>
      <c r="L11" s="203"/>
    </row>
    <row r="12">
      <c r="A12" s="206" t="str">
        <f>CONCATENATE(SUM('Общая смета'!F4:F11)/D12&amp;" ₽ - "&amp;SUM('Общая смета'!G4:G11)/D12&amp;" ₽")</f>
        <v>16330 ₽ - 20296 ₽</v>
      </c>
      <c r="B12" s="207"/>
      <c r="C12" s="207"/>
      <c r="D12" s="208">
        <v>1.0</v>
      </c>
      <c r="E12" s="206" t="str">
        <f>CONCATENATE(SUM('Общая смета'!J4:J11)/H12&amp;" ₽ - "&amp;SUM('Общая смета'!K4:K11)/H12&amp;" ₽")</f>
        <v>148097 ₽ - 187128 ₽</v>
      </c>
      <c r="F12" s="207"/>
      <c r="G12" s="207"/>
      <c r="H12" s="208">
        <v>1.0</v>
      </c>
      <c r="I12" s="206" t="str">
        <f>CONCATENATE(SUM('Общая смета'!N4:N11)/L12&amp;" ₽ - "&amp;SUM('Общая смета'!O4:O11)/L12&amp;" ₽")</f>
        <v>4831 ₽ - 6148 ₽</v>
      </c>
      <c r="J12" s="207"/>
      <c r="K12" s="207"/>
      <c r="L12" s="208">
        <v>1.0</v>
      </c>
    </row>
  </sheetData>
  <mergeCells count="6">
    <mergeCell ref="A11:D11"/>
    <mergeCell ref="E11:H11"/>
    <mergeCell ref="I11:L11"/>
    <mergeCell ref="A12:C12"/>
    <mergeCell ref="E12:G12"/>
    <mergeCell ref="I12:K12"/>
  </mergeCells>
  <drawing r:id="rId1"/>
</worksheet>
</file>